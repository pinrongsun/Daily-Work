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imph\Desktop\Daily-Work\"/>
    </mc:Choice>
  </mc:AlternateContent>
  <bookViews>
    <workbookView minimized="1" xWindow="0" yWindow="0" windowWidth="16386" windowHeight="8190" tabRatio="993"/>
  </bookViews>
  <sheets>
    <sheet name="vw_paymentBlock22" sheetId="1" r:id="rId1"/>
    <sheet name="Sheet1" sheetId="2" r:id="rId2"/>
  </sheets>
  <externalReferences>
    <externalReference r:id="rId3"/>
  </externalReferences>
  <calcPr calcId="152511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L3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" i="1"/>
  <c r="H62" i="2"/>
  <c r="G62" i="2"/>
  <c r="F62" i="2"/>
  <c r="E62" i="2"/>
  <c r="D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<sst xmlns="http://schemas.openxmlformats.org/spreadsheetml/2006/main" count="821" uniqueCount="703">
  <si>
    <t>_id</t>
  </si>
  <si>
    <t>barcode</t>
  </si>
  <si>
    <t>name</t>
  </si>
  <si>
    <t>paidAmount</t>
  </si>
  <si>
    <t>street</t>
  </si>
  <si>
    <t>streetNo</t>
  </si>
  <si>
    <t>subBarcode</t>
  </si>
  <si>
    <t>totalContributionFee</t>
  </si>
  <si>
    <t>totalMaintenanceFee</t>
  </si>
  <si>
    <t>totalWaterConsumption</t>
  </si>
  <si>
    <t>totalWaterUsage</t>
  </si>
  <si>
    <t>SZ2YTgfWYdFyf2gv7</t>
  </si>
  <si>
    <t>ប៉ាត់ ផលបុត្រ</t>
  </si>
  <si>
    <t>22-216</t>
  </si>
  <si>
    <t>miuFt5WQkJFy2RJ8Q</t>
  </si>
  <si>
    <t>ឌុក អៀក</t>
  </si>
  <si>
    <t>22-172</t>
  </si>
  <si>
    <t>yBKCStQu5SmpiNBZK</t>
  </si>
  <si>
    <t>ឡេន រ៉ា លក់ពោះគោ២កន្លៈ</t>
  </si>
  <si>
    <t>22-041</t>
  </si>
  <si>
    <t>K2wwBoJD2uL8x5bBd</t>
  </si>
  <si>
    <r>
      <rPr>
        <sz val="10"/>
        <rFont val="FreeSans"/>
        <family val="2"/>
      </rPr>
      <t>ពៅ គឹមហាន</t>
    </r>
    <r>
      <rPr>
        <sz val="10"/>
        <rFont val="Arial"/>
        <family val="2"/>
      </rPr>
      <t>(</t>
    </r>
    <r>
      <rPr>
        <sz val="10"/>
        <rFont val="FreeSans"/>
        <family val="2"/>
      </rPr>
      <t>លក់គុយទាវ</t>
    </r>
    <r>
      <rPr>
        <sz val="10"/>
        <rFont val="Arial"/>
        <family val="2"/>
      </rPr>
      <t>)</t>
    </r>
  </si>
  <si>
    <t>22-048</t>
  </si>
  <si>
    <t>PwSpN2TuD3MnL6nA9</t>
  </si>
  <si>
    <t>សមាគមជនជាតិចិនលាងហួ</t>
  </si>
  <si>
    <t>22-024</t>
  </si>
  <si>
    <t>PSBppPmvHR3gCkBMe</t>
  </si>
  <si>
    <t>លឹម ឆាយ ៤</t>
  </si>
  <si>
    <t>22-130</t>
  </si>
  <si>
    <t>DQvpt4iouB2vc2ETB</t>
  </si>
  <si>
    <t>លឹម ឆាយ ៣</t>
  </si>
  <si>
    <t>22-129</t>
  </si>
  <si>
    <t>iQRW8Ecbo69EcTTg3</t>
  </si>
  <si>
    <t>លឹម ឆាយ ២</t>
  </si>
  <si>
    <t>22-128</t>
  </si>
  <si>
    <t>gxTHBphAkAibLe9LJ</t>
  </si>
  <si>
    <t>លឹម ឆាយ ១</t>
  </si>
  <si>
    <t>22-025</t>
  </si>
  <si>
    <t>Li3Lu9XhrLJxNJnJu</t>
  </si>
  <si>
    <t>សមាគមគុយទាវ</t>
  </si>
  <si>
    <t>22-093</t>
  </si>
  <si>
    <t>jzc7hBt2MbbpQLBK4</t>
  </si>
  <si>
    <t>សណ្ឋាគាររ៉ូយ៉ាល់</t>
  </si>
  <si>
    <t>22-004</t>
  </si>
  <si>
    <t>te95vpimuC6yMgLZA</t>
  </si>
  <si>
    <t>22-005</t>
  </si>
  <si>
    <t>gfDm9e6vJv8qn9apE</t>
  </si>
  <si>
    <t>សយ បូរ៉ា</t>
  </si>
  <si>
    <t>22-168</t>
  </si>
  <si>
    <t>NK8EL5ZT9htBv6zqA</t>
  </si>
  <si>
    <t>ឃុន ងួនហុង</t>
  </si>
  <si>
    <t>22-278</t>
  </si>
  <si>
    <t>5SW4rEtL3N6Nk595B</t>
  </si>
  <si>
    <t>វែង សុផល</t>
  </si>
  <si>
    <t>22-160</t>
  </si>
  <si>
    <t>97xkw76qninaPRy27</t>
  </si>
  <si>
    <t>ឌុក ឆវេត</t>
  </si>
  <si>
    <t>22-247</t>
  </si>
  <si>
    <t>qe7DRexAGAKgwPaBx</t>
  </si>
  <si>
    <t>លឹម ទៀហេង</t>
  </si>
  <si>
    <t>22-194</t>
  </si>
  <si>
    <t>KcCMvZWmHqGsQqjcH</t>
  </si>
  <si>
    <t>សៀ ស៊ិន</t>
  </si>
  <si>
    <t>22-039</t>
  </si>
  <si>
    <t>vaoKJhJp8zXRQz2XQ</t>
  </si>
  <si>
    <r>
      <rPr>
        <sz val="10"/>
        <rFont val="FreeSans"/>
        <family val="2"/>
      </rPr>
      <t>អ៊ុយ លីវ</t>
    </r>
    <r>
      <rPr>
        <sz val="10"/>
        <rFont val="Arial"/>
        <family val="2"/>
      </rPr>
      <t>(</t>
    </r>
    <r>
      <rPr>
        <sz val="10"/>
        <rFont val="FreeSans"/>
        <family val="2"/>
      </rPr>
      <t>ប្រេងឥន្ទនៈឡាអេ</t>
    </r>
    <r>
      <rPr>
        <sz val="10"/>
        <rFont val="Arial"/>
        <family val="2"/>
      </rPr>
      <t>)</t>
    </r>
  </si>
  <si>
    <t>22-050</t>
  </si>
  <si>
    <t>baNjxC3FkxvcycqBE</t>
  </si>
  <si>
    <t>សណ្ឋាគារស្តារ អ៊ុន ផល្លា</t>
  </si>
  <si>
    <t>22-059</t>
  </si>
  <si>
    <t>AWvohJYB622a8uw2Z</t>
  </si>
  <si>
    <t>អ៊ុន ម៉េង​ សណ្ឋាគារអាស៊ី</t>
  </si>
  <si>
    <t>22-030</t>
  </si>
  <si>
    <t>PqeZD7m3mqWcYFm9T</t>
  </si>
  <si>
    <t>សុខ សុខុន ពីស៊ីនទឹក</t>
  </si>
  <si>
    <t>22-038</t>
  </si>
  <si>
    <t>N9zPuWn4vNfd8kXyD</t>
  </si>
  <si>
    <t>ស៊ុន លីនណា</t>
  </si>
  <si>
    <t>22-251</t>
  </si>
  <si>
    <t>vxhCc4WR75KLW5KkT</t>
  </si>
  <si>
    <t>សណ្ឋាគារតេអូ</t>
  </si>
  <si>
    <t>22-008</t>
  </si>
  <si>
    <t>B2xC2cgx962iSJc7J</t>
  </si>
  <si>
    <t>ផ្សារលក់ត្រី</t>
  </si>
  <si>
    <t>22-111</t>
  </si>
  <si>
    <t>F8bigkGM5CqqmChwX</t>
  </si>
  <si>
    <t>ស ឌឿ</t>
  </si>
  <si>
    <t>22-244</t>
  </si>
  <si>
    <t>fyQqzz7TaacBJk74D</t>
  </si>
  <si>
    <t>ប៊ុន សុវណ្ណ</t>
  </si>
  <si>
    <t>22-217</t>
  </si>
  <si>
    <t>Tbr5u8S2gr69BT6ag</t>
  </si>
  <si>
    <t>សាខាគយនិងរដ្ឋាករខេត្ត</t>
  </si>
  <si>
    <t>22-026</t>
  </si>
  <si>
    <t>STTeMtYXpSDqL9eZj</t>
  </si>
  <si>
    <t>សួន វណ្ណនេត</t>
  </si>
  <si>
    <t>22-275</t>
  </si>
  <si>
    <t>SYbBCuFWpyXuzKabD</t>
  </si>
  <si>
    <t>ឈឹម ស៊ួ</t>
  </si>
  <si>
    <t>22-227</t>
  </si>
  <si>
    <t>J7oGhc6d3t6FQa3Z4</t>
  </si>
  <si>
    <t>សាឌុន សារិទ្ធ</t>
  </si>
  <si>
    <t>22-202</t>
  </si>
  <si>
    <t>jRQPM2BruqsaFtgNt</t>
  </si>
  <si>
    <t>គឹម មុន្នី</t>
  </si>
  <si>
    <t>22-259</t>
  </si>
  <si>
    <t>TT4YgyuduEa3yMpbk</t>
  </si>
  <si>
    <t>តុក សុងសួ</t>
  </si>
  <si>
    <t>22-240</t>
  </si>
  <si>
    <t>cqjnybiMDAgSavmzb</t>
  </si>
  <si>
    <t>នូ ណូរ៉ា</t>
  </si>
  <si>
    <t>22-105</t>
  </si>
  <si>
    <t>kBskbSaeekjxKvhPa</t>
  </si>
  <si>
    <t>ទូច លាងខេង</t>
  </si>
  <si>
    <t>22-047</t>
  </si>
  <si>
    <t>ALjoRHujYSWnxLETD</t>
  </si>
  <si>
    <t>ហុង សារិន</t>
  </si>
  <si>
    <t>22-171</t>
  </si>
  <si>
    <t>4g6XyN94QygQKF9NC</t>
  </si>
  <si>
    <r>
      <rPr>
        <sz val="10"/>
        <rFont val="FreeSans"/>
        <family val="2"/>
      </rPr>
      <t>ឡេង ហេង</t>
    </r>
    <r>
      <rPr>
        <sz val="10"/>
        <rFont val="Arial"/>
        <family val="2"/>
      </rPr>
      <t>(</t>
    </r>
    <r>
      <rPr>
        <sz val="10"/>
        <rFont val="FreeSans"/>
        <family val="2"/>
      </rPr>
      <t>សណ្ឋាគារ</t>
    </r>
    <r>
      <rPr>
        <sz val="10"/>
        <rFont val="Arial"/>
        <family val="2"/>
      </rPr>
      <t>)</t>
    </r>
  </si>
  <si>
    <t>22-061</t>
  </si>
  <si>
    <t>xNe2td52scLsLe4bD</t>
  </si>
  <si>
    <t>អ៊ុំ ចំរើន</t>
  </si>
  <si>
    <t>22-245</t>
  </si>
  <si>
    <t>RvPSrCBK3tgiwhux5</t>
  </si>
  <si>
    <t>នក់ ម៉ង់</t>
  </si>
  <si>
    <t>22-167</t>
  </si>
  <si>
    <t>tExrCJmkFAHe2Afuo</t>
  </si>
  <si>
    <t>ជា ពលរិទ្ធ ខារ៉ាអូឃេ</t>
  </si>
  <si>
    <t>22-074</t>
  </si>
  <si>
    <t>zXdsaSmEq5roRSvkq</t>
  </si>
  <si>
    <t>ប្រេងតេលា ផ្លូវលេខ៣</t>
  </si>
  <si>
    <t>22-073</t>
  </si>
  <si>
    <t>SHhk3xW99yXQQtdCc</t>
  </si>
  <si>
    <t>អាហារដ្ឋានរីករាយ</t>
  </si>
  <si>
    <t>22-223</t>
  </si>
  <si>
    <t>Kocn4qjC8nWhiSKNa</t>
  </si>
  <si>
    <r>
      <rPr>
        <sz val="10"/>
        <rFont val="FreeSans"/>
        <family val="2"/>
      </rPr>
      <t>ហូ លីដេ</t>
    </r>
    <r>
      <rPr>
        <sz val="10"/>
        <rFont val="Arial"/>
        <family val="2"/>
      </rPr>
      <t>(</t>
    </r>
    <r>
      <rPr>
        <sz val="10"/>
        <rFont val="FreeSans"/>
        <family val="2"/>
      </rPr>
      <t>ផ្ទះសំណាក់</t>
    </r>
    <r>
      <rPr>
        <sz val="10"/>
        <rFont val="Arial"/>
        <family val="2"/>
      </rPr>
      <t>)</t>
    </r>
  </si>
  <si>
    <t>22-066</t>
  </si>
  <si>
    <t>MpKkiHmXHzLNu7AJ4</t>
  </si>
  <si>
    <r>
      <rPr>
        <sz val="10"/>
        <rFont val="FreeSans"/>
        <family val="2"/>
      </rPr>
      <t xml:space="preserve">ការ៉ាស់សាំង តេលា </t>
    </r>
    <r>
      <rPr>
        <sz val="10"/>
        <rFont val="Arial"/>
        <family val="2"/>
      </rPr>
      <t>(</t>
    </r>
    <r>
      <rPr>
        <sz val="10"/>
        <rFont val="FreeSans"/>
        <family val="2"/>
      </rPr>
      <t xml:space="preserve">អន្លង់វិល </t>
    </r>
    <r>
      <rPr>
        <sz val="10"/>
        <rFont val="Arial"/>
        <family val="2"/>
      </rPr>
      <t>)</t>
    </r>
  </si>
  <si>
    <t>22-145</t>
  </si>
  <si>
    <t>owKATmwk22tyYiMG4</t>
  </si>
  <si>
    <t>ព្រឿន សឿត</t>
  </si>
  <si>
    <t>22-156</t>
  </si>
  <si>
    <t>YzrR4DNjrWBugv9nY</t>
  </si>
  <si>
    <t>គាន ថៃ ១</t>
  </si>
  <si>
    <t>22-277</t>
  </si>
  <si>
    <t>52vFFko9KpyWQEXEQ</t>
  </si>
  <si>
    <t>សៀ ស៊ិន ១</t>
  </si>
  <si>
    <t>22-276</t>
  </si>
  <si>
    <t>QNcNAKsZ9gfpWcvAL</t>
  </si>
  <si>
    <t>លឹម សេងហ៊ួរ</t>
  </si>
  <si>
    <t>22-231</t>
  </si>
  <si>
    <t>APMwuM7wj3oBBknai</t>
  </si>
  <si>
    <t>អង្កការ អេ អ អឹម</t>
  </si>
  <si>
    <t>22-120</t>
  </si>
  <si>
    <t>BYNG5qcurKJd5Mycd</t>
  </si>
  <si>
    <t>ចាន់ សម្ជស្ស</t>
  </si>
  <si>
    <t>22-163</t>
  </si>
  <si>
    <t>JkqQ2GYMgbixnBTmp</t>
  </si>
  <si>
    <t>នូវ សាវុធ មៃមៃ ភោជនីយដ្ឋាន</t>
  </si>
  <si>
    <t>22-081</t>
  </si>
  <si>
    <t>4kZwcw3Tn62sxByBQ</t>
  </si>
  <si>
    <t>សុខ សុខុន ពន្ឋនាគារ</t>
  </si>
  <si>
    <t>22-018</t>
  </si>
  <si>
    <t>LqExTNKv8HYpHrCCc</t>
  </si>
  <si>
    <t>វែង ស៊្រុន</t>
  </si>
  <si>
    <t>22-115</t>
  </si>
  <si>
    <t>GHsXLcBvv5gb9M8Qu</t>
  </si>
  <si>
    <t>វែង ស៊្រុន ២</t>
  </si>
  <si>
    <t>22-139</t>
  </si>
  <si>
    <t>WNvnzFQ2zkqd5TCjX</t>
  </si>
  <si>
    <t>ងិន ឃន ៥</t>
  </si>
  <si>
    <t>22-184</t>
  </si>
  <si>
    <t>SXD8TeJsf9QWtjWwF</t>
  </si>
  <si>
    <t>អង្គការ ឃែ រំចេក៤</t>
  </si>
  <si>
    <t>22-027</t>
  </si>
  <si>
    <t>qbLvTpn2kc8Mb72Yy</t>
  </si>
  <si>
    <t>ងិន ឃន ៦</t>
  </si>
  <si>
    <t>22-185</t>
  </si>
  <si>
    <t>kSgo99fPhGewPFDFf</t>
  </si>
  <si>
    <t>ហេង តុលា</t>
  </si>
  <si>
    <t>22-199</t>
  </si>
  <si>
    <t>3CSsZYCxNKt7zXCww</t>
  </si>
  <si>
    <t>សេរី ចរិយា ២</t>
  </si>
  <si>
    <t>22-175</t>
  </si>
  <si>
    <t>w4o5DK2NwPLpYdNbQ</t>
  </si>
  <si>
    <t>ប៊ុន សេង ១</t>
  </si>
  <si>
    <t>22-119</t>
  </si>
  <si>
    <t>S2YXxBv4eufqnyKY7</t>
  </si>
  <si>
    <r>
      <rPr>
        <sz val="10"/>
        <rFont val="FreeSans"/>
        <family val="2"/>
      </rPr>
      <t xml:space="preserve">ជា តេកស្រេង </t>
    </r>
    <r>
      <rPr>
        <sz val="10"/>
        <rFont val="Arial"/>
        <family val="2"/>
      </rPr>
      <t>(</t>
    </r>
    <r>
      <rPr>
        <sz val="10"/>
        <rFont val="FreeSans"/>
        <family val="2"/>
      </rPr>
      <t xml:space="preserve">ជិប ស្រេង </t>
    </r>
    <r>
      <rPr>
        <sz val="10"/>
        <rFont val="Arial"/>
        <family val="2"/>
      </rPr>
      <t>)</t>
    </r>
  </si>
  <si>
    <t>22-180</t>
  </si>
  <si>
    <t>cd2MdtKYMLNAsBktM</t>
  </si>
  <si>
    <r>
      <rPr>
        <sz val="10"/>
        <rFont val="FreeSans"/>
        <family val="2"/>
      </rPr>
      <t>រោងចក្រអគ្គិសនី</t>
    </r>
    <r>
      <rPr>
        <sz val="10"/>
        <rFont val="Arial"/>
        <family val="2"/>
      </rPr>
      <t>(</t>
    </r>
    <r>
      <rPr>
        <sz val="10"/>
        <rFont val="FreeSans"/>
        <family val="2"/>
      </rPr>
      <t>ក្រោមសាតូដូ</t>
    </r>
    <r>
      <rPr>
        <sz val="10"/>
        <rFont val="Arial"/>
        <family val="2"/>
      </rPr>
      <t>)</t>
    </r>
  </si>
  <si>
    <t>22-019</t>
  </si>
  <si>
    <t>pPSBKGbqydAtuhW4y</t>
  </si>
  <si>
    <t>រោងចក្រអគ្គិសនី ២</t>
  </si>
  <si>
    <t>22-020</t>
  </si>
  <si>
    <t>YJLCXRPGBMhgWxq7H</t>
  </si>
  <si>
    <t>យ៉ម ចំរើន ១</t>
  </si>
  <si>
    <t>22-016</t>
  </si>
  <si>
    <t>2jfEqv33ywRpdfuLd</t>
  </si>
  <si>
    <t>ធា លឹម</t>
  </si>
  <si>
    <t>22-153</t>
  </si>
  <si>
    <t>Q6J6cAAgabhAappXu</t>
  </si>
  <si>
    <t>គឹម សារី</t>
  </si>
  <si>
    <t>22-107</t>
  </si>
  <si>
    <t>e4oSAdnAivYs4whZo</t>
  </si>
  <si>
    <t>ឈុន លីម</t>
  </si>
  <si>
    <t>22-043</t>
  </si>
  <si>
    <t>XHt9aGmA6GMkRHsAW</t>
  </si>
  <si>
    <t>ជុក គឹមហ៊ាប់</t>
  </si>
  <si>
    <t>22-064</t>
  </si>
  <si>
    <t>XdFAj35itfdCR9iiK</t>
  </si>
  <si>
    <t>គុយ ទ្រី</t>
  </si>
  <si>
    <t>22-067</t>
  </si>
  <si>
    <t>NuwfCA65LCCx5xG9s</t>
  </si>
  <si>
    <t>យិន គិតឡេង</t>
  </si>
  <si>
    <t>22-207</t>
  </si>
  <si>
    <t>nuKGHqc2TWhCQDbR3</t>
  </si>
  <si>
    <t>ភោជនីយដ្ឋាន សួនយុវ័ន</t>
  </si>
  <si>
    <t>22-045</t>
  </si>
  <si>
    <t>TRWdzdhtbsRmPYBKf</t>
  </si>
  <si>
    <t>តូ មិត</t>
  </si>
  <si>
    <t>22-198</t>
  </si>
  <si>
    <t>a8d5JnByxyPpqNBdF</t>
  </si>
  <si>
    <t>កែវ វ៉ាន់ទី</t>
  </si>
  <si>
    <t>22-102</t>
  </si>
  <si>
    <t>LY79rYSCx33FjNyFX</t>
  </si>
  <si>
    <r>
      <rPr>
        <sz val="10"/>
        <rFont val="FreeSans"/>
        <family val="2"/>
      </rPr>
      <t xml:space="preserve">សេង សុម៉ាឡៃ </t>
    </r>
    <r>
      <rPr>
        <sz val="10"/>
        <rFont val="Arial"/>
        <family val="2"/>
      </rPr>
      <t>(</t>
    </r>
    <r>
      <rPr>
        <sz val="10"/>
        <rFont val="FreeSans"/>
        <family val="2"/>
      </rPr>
      <t xml:space="preserve">ខារាអូខេហេបភី </t>
    </r>
    <r>
      <rPr>
        <sz val="10"/>
        <rFont val="Arial"/>
        <family val="2"/>
      </rPr>
      <t>)</t>
    </r>
  </si>
  <si>
    <t>22-125</t>
  </si>
  <si>
    <t>acPwAkvTHkDBnZf3z</t>
  </si>
  <si>
    <t>សិប្បកម្មលូ</t>
  </si>
  <si>
    <t>22-241</t>
  </si>
  <si>
    <t>QDpYwq2gqMaErRxyS</t>
  </si>
  <si>
    <r>
      <rPr>
        <sz val="10"/>
        <rFont val="FreeSans"/>
        <family val="2"/>
      </rPr>
      <t>ប៊ុន ពៅ រតនៈ</t>
    </r>
    <r>
      <rPr>
        <sz val="10"/>
        <rFont val="Arial"/>
        <family val="2"/>
      </rPr>
      <t>(</t>
    </r>
    <r>
      <rPr>
        <sz val="10"/>
        <rFont val="FreeSans"/>
        <family val="2"/>
      </rPr>
      <t>សណ្ឋាគារ</t>
    </r>
    <r>
      <rPr>
        <sz val="10"/>
        <rFont val="Arial"/>
        <family val="2"/>
      </rPr>
      <t>)</t>
    </r>
  </si>
  <si>
    <t>22-063</t>
  </si>
  <si>
    <t>XGez3B9LE8W5dZs7M</t>
  </si>
  <si>
    <t>ខៀវ ផុន</t>
  </si>
  <si>
    <t>22-104</t>
  </si>
  <si>
    <t>wmNfusdDxfEz9BnkF</t>
  </si>
  <si>
    <t>ស្ថានអគ្គកុងស៊ុលវៀតណាម</t>
  </si>
  <si>
    <t>22-031</t>
  </si>
  <si>
    <t>c4gmcSB7mRtmdt2YH</t>
  </si>
  <si>
    <t>រិន វិសាល ១</t>
  </si>
  <si>
    <t>22-140</t>
  </si>
  <si>
    <t>zkyo6WpfuX4a359Qd</t>
  </si>
  <si>
    <r>
      <rPr>
        <sz val="10"/>
        <rFont val="FreeSans"/>
        <family val="2"/>
      </rPr>
      <t>សាលារៀន យូ</t>
    </r>
    <r>
      <rPr>
        <sz val="10"/>
        <rFont val="Arial"/>
        <family val="2"/>
      </rPr>
      <t>.</t>
    </r>
    <r>
      <rPr>
        <sz val="10"/>
        <rFont val="FreeSans"/>
        <family val="2"/>
      </rPr>
      <t>អ៊ឹម</t>
    </r>
    <r>
      <rPr>
        <sz val="10"/>
        <rFont val="Arial"/>
        <family val="2"/>
      </rPr>
      <t>.</t>
    </r>
    <r>
      <rPr>
        <sz val="10"/>
        <rFont val="FreeSans"/>
        <family val="2"/>
      </rPr>
      <t>អ៊ី</t>
    </r>
  </si>
  <si>
    <t>22-143</t>
  </si>
  <si>
    <t>gzasejHzeCugBkzoq</t>
  </si>
  <si>
    <t>សេង ប៊ូ</t>
  </si>
  <si>
    <t>22-263</t>
  </si>
  <si>
    <t>EFBPAypTRqn9vZgMt</t>
  </si>
  <si>
    <t>កុមារឥតព្រំដែន</t>
  </si>
  <si>
    <t>22-146</t>
  </si>
  <si>
    <t>9ymzacs7JFaWuBTHu</t>
  </si>
  <si>
    <t>ក្រុមហ៊ុន អិលឌីអែស</t>
  </si>
  <si>
    <t>22-269</t>
  </si>
  <si>
    <t>ag4HRjqzoqRnmrzfq</t>
  </si>
  <si>
    <t>អាជីវកម្មទឹកបរិសុទ្ធបន្ទាយស្រី</t>
  </si>
  <si>
    <t>22-023</t>
  </si>
  <si>
    <t>zRsjkhTQwiWvLe4Sn</t>
  </si>
  <si>
    <t>តាំង ម៉េងគង់</t>
  </si>
  <si>
    <t>22-266</t>
  </si>
  <si>
    <t>XYL4iS4C4omG6n5EB</t>
  </si>
  <si>
    <t>សុខ ឡាវ</t>
  </si>
  <si>
    <t>22-230</t>
  </si>
  <si>
    <t>izYGw3uhbEHzSgTMv</t>
  </si>
  <si>
    <t>ចំណតរថយន្ត</t>
  </si>
  <si>
    <t>22-108</t>
  </si>
  <si>
    <t>hL4pbbhLZDkkMQJ7i</t>
  </si>
  <si>
    <t>បេង ភី ១</t>
  </si>
  <si>
    <t>22-195</t>
  </si>
  <si>
    <t>MvfpuDZzNQ29iBt8G</t>
  </si>
  <si>
    <t>វែង ស៊្រុន ៣</t>
  </si>
  <si>
    <t>22-017</t>
  </si>
  <si>
    <t>F66wqDM6WdMPB6xcJ</t>
  </si>
  <si>
    <t>អ៊ុង  សាមី</t>
  </si>
  <si>
    <t>22-112</t>
  </si>
  <si>
    <t>EgYEnb536SrtdwjK9</t>
  </si>
  <si>
    <t>ម៉ៅ អេង</t>
  </si>
  <si>
    <t>22-204</t>
  </si>
  <si>
    <t>MXJQjmxXmP62ovAuW</t>
  </si>
  <si>
    <t>ឡុង ចន្ថា</t>
  </si>
  <si>
    <t>22-281</t>
  </si>
  <si>
    <t>DLtrFAdCWenwvjPpL</t>
  </si>
  <si>
    <t>សោម សាឃឿង</t>
  </si>
  <si>
    <t>22-055</t>
  </si>
  <si>
    <t>oXax2DCfGtyciXfJE</t>
  </si>
  <si>
    <t>តែ តៃលី ផ្សារលើ</t>
  </si>
  <si>
    <t>22-029</t>
  </si>
  <si>
    <t>Y9XdLJtiDyphtQyme</t>
  </si>
  <si>
    <r>
      <rPr>
        <sz val="10"/>
        <rFont val="FreeSans"/>
        <family val="2"/>
      </rPr>
      <t xml:space="preserve">រាជ សុវណ្ណារិទ្ធ </t>
    </r>
    <r>
      <rPr>
        <sz val="10"/>
        <rFont val="Arial"/>
        <family val="2"/>
      </rPr>
      <t>(</t>
    </r>
    <r>
      <rPr>
        <sz val="10"/>
        <rFont val="FreeSans"/>
        <family val="2"/>
      </rPr>
      <t xml:space="preserve">ហូលីដេ ២ </t>
    </r>
    <r>
      <rPr>
        <sz val="10"/>
        <rFont val="Arial"/>
        <family val="2"/>
      </rPr>
      <t>)</t>
    </r>
  </si>
  <si>
    <t>22-214</t>
  </si>
  <si>
    <t>JXs3DBhoJ6xe9XapD</t>
  </si>
  <si>
    <t>ប៊ុត គឹមស៊ាន</t>
  </si>
  <si>
    <t>22-015</t>
  </si>
  <si>
    <t>AfjTvsQMjpRABEnTn</t>
  </si>
  <si>
    <t>អេង សុខនេត</t>
  </si>
  <si>
    <t>22-134</t>
  </si>
  <si>
    <t>nbhLJdswRsXrajFPx</t>
  </si>
  <si>
    <t>ប៊ន សោ ភ័ណ</t>
  </si>
  <si>
    <t>22-179</t>
  </si>
  <si>
    <t>phGTXdgcag3w9pZnb</t>
  </si>
  <si>
    <t>ឌិត ជិន</t>
  </si>
  <si>
    <t>22-298</t>
  </si>
  <si>
    <t>Z8M65yPDuQFFXiKxu</t>
  </si>
  <si>
    <t>ថាច់ សង្វាត</t>
  </si>
  <si>
    <t>22-106</t>
  </si>
  <si>
    <t>hkb2twDfBnFe64R5G</t>
  </si>
  <si>
    <r>
      <rPr>
        <sz val="10"/>
        <rFont val="FreeSans"/>
        <family val="2"/>
      </rPr>
      <t>ផ្ទះ</t>
    </r>
    <r>
      <rPr>
        <sz val="10"/>
        <rFont val="Arial"/>
        <family val="2"/>
      </rPr>
      <t>.</t>
    </r>
    <r>
      <rPr>
        <sz val="10"/>
        <rFont val="FreeSans"/>
        <family val="2"/>
      </rPr>
      <t>សំណាក់ភ្នំខៀវ</t>
    </r>
  </si>
  <si>
    <t>22-123</t>
  </si>
  <si>
    <t>qdzGkpFdkDfdQiHNJ</t>
  </si>
  <si>
    <r>
      <rPr>
        <sz val="10"/>
        <rFont val="FreeSans"/>
        <family val="2"/>
      </rPr>
      <t>សាលា អ៊ី</t>
    </r>
    <r>
      <rPr>
        <sz val="10"/>
        <rFont val="Arial"/>
        <family val="2"/>
      </rPr>
      <t>.</t>
    </r>
    <r>
      <rPr>
        <sz val="10"/>
        <rFont val="FreeSans"/>
        <family val="2"/>
      </rPr>
      <t>ស៊ី</t>
    </r>
    <r>
      <rPr>
        <sz val="10"/>
        <rFont val="Arial"/>
        <family val="2"/>
      </rPr>
      <t>.</t>
    </r>
    <r>
      <rPr>
        <sz val="10"/>
        <rFont val="FreeSans"/>
        <family val="2"/>
      </rPr>
      <t>ស៊ី</t>
    </r>
  </si>
  <si>
    <t>22-249</t>
  </si>
  <si>
    <t>Knbi2DgFEyNeqyiKe</t>
  </si>
  <si>
    <t>ជួប យ៉ុម</t>
  </si>
  <si>
    <t>22-299</t>
  </si>
  <si>
    <t>kwQzgjgg9RitF79W8</t>
  </si>
  <si>
    <t>លឹម ហូ</t>
  </si>
  <si>
    <t>22-289</t>
  </si>
  <si>
    <t>S2Xk8yTXw4mRQEyuo</t>
  </si>
  <si>
    <t>គ្លីនិកបាត់ដំបង</t>
  </si>
  <si>
    <t>22-010</t>
  </si>
  <si>
    <t>2gjJ6YboC7eHZK9vX</t>
  </si>
  <si>
    <r>
      <rPr>
        <sz val="10"/>
        <rFont val="FreeSans"/>
        <family val="2"/>
      </rPr>
      <t xml:space="preserve">អាជីវកម្មសាណាត់២ </t>
    </r>
    <r>
      <rPr>
        <sz val="10"/>
        <rFont val="Arial"/>
        <family val="2"/>
      </rPr>
      <t>(</t>
    </r>
    <r>
      <rPr>
        <sz val="10"/>
        <rFont val="FreeSans"/>
        <family val="2"/>
      </rPr>
      <t>សេងហ៊ួ</t>
    </r>
    <r>
      <rPr>
        <sz val="10"/>
        <rFont val="Arial"/>
        <family val="2"/>
      </rPr>
      <t>)</t>
    </r>
  </si>
  <si>
    <t>22-052</t>
  </si>
  <si>
    <t>JGuzmm37nyizC6oLf</t>
  </si>
  <si>
    <t>ស្ថានីយ៏ តូតាល់</t>
  </si>
  <si>
    <t>22-057</t>
  </si>
  <si>
    <t>P8gQXwh2zqzG5ez3g</t>
  </si>
  <si>
    <t>តូតាល់អន្លងវិល</t>
  </si>
  <si>
    <t>22-201</t>
  </si>
  <si>
    <t>Tp6Xjkt7KRtQwiqwp</t>
  </si>
  <si>
    <t>វត្តផ្សារថ្មី</t>
  </si>
  <si>
    <t>22-267</t>
  </si>
  <si>
    <t>mQdSsFkZzHAEkX6fC</t>
  </si>
  <si>
    <t>តាំង ជុងខេង</t>
  </si>
  <si>
    <t>22-164</t>
  </si>
  <si>
    <t>WoTzL4qRi6zwKEWXv</t>
  </si>
  <si>
    <t>សន សុភ័ក្រ</t>
  </si>
  <si>
    <t>22-280</t>
  </si>
  <si>
    <t>e69qHYFjxQLCjfw24</t>
  </si>
  <si>
    <t>វិញ សាន់</t>
  </si>
  <si>
    <t>22-094</t>
  </si>
  <si>
    <t>uYXkmD7TWTxzdLoZN</t>
  </si>
  <si>
    <t>ញ៉ែម វណ្ណា លាង ឡាន</t>
  </si>
  <si>
    <t>22-083</t>
  </si>
  <si>
    <t>MrCEA4zkq7c7rF49Z</t>
  </si>
  <si>
    <t>ណា ណៃ</t>
  </si>
  <si>
    <t>22-096</t>
  </si>
  <si>
    <t>2Kf3XYceuNjQuDP8G</t>
  </si>
  <si>
    <t>ព្រៈវិហារកាតូលិក ១</t>
  </si>
  <si>
    <t>22-089</t>
  </si>
  <si>
    <t>MPvjMHeSRXbcQHqEw</t>
  </si>
  <si>
    <t>វត្តកណ្តាល</t>
  </si>
  <si>
    <t>22-297</t>
  </si>
  <si>
    <t>PP7Dh6u7NgqfoPCkZ</t>
  </si>
  <si>
    <t>លឹម ភិចហួរ</t>
  </si>
  <si>
    <t>22-127</t>
  </si>
  <si>
    <t>N2bBweD5ijtyHqZTv</t>
  </si>
  <si>
    <t>ហម ចិត្រ</t>
  </si>
  <si>
    <t>22-032</t>
  </si>
  <si>
    <t>6jZjoyyq5g6AbssyP</t>
  </si>
  <si>
    <t>បួន សៀ</t>
  </si>
  <si>
    <t>22-242</t>
  </si>
  <si>
    <t>pFSuuHPDdvNxEzrPY</t>
  </si>
  <si>
    <t>សឹង លី</t>
  </si>
  <si>
    <t>22-292</t>
  </si>
  <si>
    <t>jg2aAp4zYbjGdEt9x</t>
  </si>
  <si>
    <r>
      <rPr>
        <sz val="10"/>
        <rFont val="FreeSans"/>
        <family val="2"/>
      </rPr>
      <t xml:space="preserve">ប៊ុន សេង </t>
    </r>
    <r>
      <rPr>
        <sz val="10"/>
        <rFont val="Arial"/>
        <family val="2"/>
      </rPr>
      <t>(</t>
    </r>
    <r>
      <rPr>
        <sz val="10"/>
        <rFont val="FreeSans"/>
        <family val="2"/>
      </rPr>
      <t>គ្លីនិកសុខភាព</t>
    </r>
    <r>
      <rPr>
        <sz val="10"/>
        <rFont val="Arial"/>
        <family val="2"/>
      </rPr>
      <t>)</t>
    </r>
  </si>
  <si>
    <t>22-109</t>
  </si>
  <si>
    <t>X5ejFR4qENb6q29kJ</t>
  </si>
  <si>
    <t>បេ សារឿន</t>
  </si>
  <si>
    <t>22-236</t>
  </si>
  <si>
    <t>usNLagLENJnftNrua</t>
  </si>
  <si>
    <t>សោ ថាលី កូលាបស</t>
  </si>
  <si>
    <t>22-068</t>
  </si>
  <si>
    <t>FyznucJuLin9KwGcc</t>
  </si>
  <si>
    <t>ណង ណារ័ត្ន</t>
  </si>
  <si>
    <t>22-126</t>
  </si>
  <si>
    <t>b6bm8sfaYbePKYDCt</t>
  </si>
  <si>
    <t>សណ្ឋាគារ បាណន់</t>
  </si>
  <si>
    <t>22-085</t>
  </si>
  <si>
    <t>seEbjZwGKwWwY5B75</t>
  </si>
  <si>
    <t>លឹម ឈួងសៀ</t>
  </si>
  <si>
    <t>22-136</t>
  </si>
  <si>
    <t>2ehKrs62oNub7ia4w</t>
  </si>
  <si>
    <r>
      <rPr>
        <sz val="10"/>
        <rFont val="FreeSans"/>
        <family val="2"/>
      </rPr>
      <t xml:space="preserve">មណ្ឌលកុមារកំព្រា </t>
    </r>
    <r>
      <rPr>
        <sz val="10"/>
        <rFont val="Arial"/>
        <family val="2"/>
      </rPr>
      <t>SOS</t>
    </r>
  </si>
  <si>
    <t>22-021</t>
  </si>
  <si>
    <t>8aB2FSqxHQbRSZnzG</t>
  </si>
  <si>
    <t>អេង ពេញ</t>
  </si>
  <si>
    <t>22-116</t>
  </si>
  <si>
    <t>GW9HbjJDM7rKNm5Tf</t>
  </si>
  <si>
    <t>នរោត្តម ចក្រាវុធ</t>
  </si>
  <si>
    <t>22-095</t>
  </si>
  <si>
    <t>kaBPZJAAeeCMJx5Gu</t>
  </si>
  <si>
    <t>ជាម ចាន់សោភ័ណ</t>
  </si>
  <si>
    <t>22-203</t>
  </si>
  <si>
    <t>5H3apwsr4EnXW3DjF</t>
  </si>
  <si>
    <r>
      <rPr>
        <sz val="10"/>
        <rFont val="FreeSans"/>
        <family val="2"/>
      </rPr>
      <t xml:space="preserve">ស៊ីន ឃន </t>
    </r>
    <r>
      <rPr>
        <sz val="10"/>
        <rFont val="Arial"/>
        <family val="2"/>
      </rPr>
      <t>(</t>
    </r>
    <r>
      <rPr>
        <sz val="10"/>
        <rFont val="FreeSans"/>
        <family val="2"/>
      </rPr>
      <t xml:space="preserve">សាច់គោអាំង </t>
    </r>
    <r>
      <rPr>
        <sz val="10"/>
        <rFont val="Arial"/>
        <family val="2"/>
      </rPr>
      <t>)</t>
    </r>
  </si>
  <si>
    <t>22-092</t>
  </si>
  <si>
    <t>ykEdTFsK2ZcniSfYe</t>
  </si>
  <si>
    <t>គឹម សុខ</t>
  </si>
  <si>
    <t>22-144</t>
  </si>
  <si>
    <t>biDewG26CChdMm2WT</t>
  </si>
  <si>
    <t>ព្រៈវិហារកាតូលិក ២</t>
  </si>
  <si>
    <t>22-113</t>
  </si>
  <si>
    <t>9Rk5atp8XDLenyyuf</t>
  </si>
  <si>
    <t>ភោជនីយដ្ឋាន វិមានរៀម</t>
  </si>
  <si>
    <t>22-191</t>
  </si>
  <si>
    <t>HeSacyRzZE8Wny3EE</t>
  </si>
  <si>
    <t>ប៊ុន សេង ២</t>
  </si>
  <si>
    <t>22-197</t>
  </si>
  <si>
    <t>o4r7fAxLnXGQ7Fafj</t>
  </si>
  <si>
    <t>ឯម សុវណ្ណារ៉ា</t>
  </si>
  <si>
    <t>22-293</t>
  </si>
  <si>
    <t>CPFh3HNzEn6if6NtK</t>
  </si>
  <si>
    <t>ងិន ឃន ៤</t>
  </si>
  <si>
    <t>22-183</t>
  </si>
  <si>
    <t>KYjKEnNFrNNgbdmdK</t>
  </si>
  <si>
    <t>ហួយ ចន្ធី</t>
  </si>
  <si>
    <t>22-213</t>
  </si>
  <si>
    <t>Ys4rhysv4nKZayBcA</t>
  </si>
  <si>
    <t>សេង វ៉ាឡាត់</t>
  </si>
  <si>
    <t>22-034</t>
  </si>
  <si>
    <t>iCoJekMntsZq7AFzt</t>
  </si>
  <si>
    <t>តាំង ឡាយ</t>
  </si>
  <si>
    <t>22-255</t>
  </si>
  <si>
    <t>YxkTrp7MbRX4Nuf9i</t>
  </si>
  <si>
    <t>មាស សុភាព</t>
  </si>
  <si>
    <t>22-178</t>
  </si>
  <si>
    <t>SBuCTs5F482NoFTrt</t>
  </si>
  <si>
    <t>ឡាំ ឆៃលីន</t>
  </si>
  <si>
    <t>22-272</t>
  </si>
  <si>
    <t>TetFKS3Tm76wY8ivj</t>
  </si>
  <si>
    <t>ប្រាក់ ព្រី</t>
  </si>
  <si>
    <t>22-261</t>
  </si>
  <si>
    <t>bGAeNBk9nMayQBGNS</t>
  </si>
  <si>
    <t>ភោជនីយដ្ឋានសប្បាយណាស់</t>
  </si>
  <si>
    <t>22-012</t>
  </si>
  <si>
    <t>qkCDmn5EKGD3dWSrP</t>
  </si>
  <si>
    <t>ដៃដែក</t>
  </si>
  <si>
    <t>22-243</t>
  </si>
  <si>
    <t>RgxHW3WYmF4SmtGRr</t>
  </si>
  <si>
    <t>យ៉ម ចំរើន ៤</t>
  </si>
  <si>
    <t>22-186</t>
  </si>
  <si>
    <t>xcbH5BivX4PSuvc3c</t>
  </si>
  <si>
    <t>ង៉ូវ វែងហុក</t>
  </si>
  <si>
    <t>22-219</t>
  </si>
  <si>
    <t>oWKvnH53EuZMXHLWW</t>
  </si>
  <si>
    <t>នៅ សិទ្ធិគុណ</t>
  </si>
  <si>
    <t>22-274</t>
  </si>
  <si>
    <t>yQg84iMBvFfRaSqM9</t>
  </si>
  <si>
    <t>កូវ ជីងប៊ុង</t>
  </si>
  <si>
    <t>22-151</t>
  </si>
  <si>
    <t>M9noKeMkcC3v4BXBH</t>
  </si>
  <si>
    <t>ខេមរាបាត់ដំបង ២</t>
  </si>
  <si>
    <t>22-221</t>
  </si>
  <si>
    <t>WLc7jFRWFqutRhXRP</t>
  </si>
  <si>
    <t>ខេមរាបាត់ដំបង ១</t>
  </si>
  <si>
    <t>22-220</t>
  </si>
  <si>
    <t>RzvHT5h3Kd4AHEGkZ</t>
  </si>
  <si>
    <r>
      <rPr>
        <sz val="10"/>
        <rFont val="FreeSans"/>
        <family val="2"/>
      </rPr>
      <t>ឯ</t>
    </r>
    <r>
      <rPr>
        <sz val="10"/>
        <rFont val="Arial"/>
        <family val="2"/>
      </rPr>
      <t>.</t>
    </r>
    <r>
      <rPr>
        <sz val="10"/>
        <rFont val="FreeSans"/>
        <family val="2"/>
      </rPr>
      <t>ឧ</t>
    </r>
    <r>
      <rPr>
        <sz val="10"/>
        <rFont val="Arial"/>
        <family val="2"/>
      </rPr>
      <t xml:space="preserve">. </t>
    </r>
    <r>
      <rPr>
        <sz val="10"/>
        <rFont val="FreeSans"/>
        <family val="2"/>
      </rPr>
      <t>ងិន ឃន ៣</t>
    </r>
  </si>
  <si>
    <t>22-098</t>
  </si>
  <si>
    <t>Q3AXBaf5GWfsZQHr8</t>
  </si>
  <si>
    <t>ងិន ឃន ១</t>
  </si>
  <si>
    <t>22-182</t>
  </si>
  <si>
    <t>SKtSadaun9CE35EHg</t>
  </si>
  <si>
    <r>
      <rPr>
        <sz val="10"/>
        <rFont val="FreeSans"/>
        <family val="2"/>
      </rPr>
      <t xml:space="preserve">ងួន ហួត </t>
    </r>
    <r>
      <rPr>
        <sz val="10"/>
        <rFont val="Arial"/>
        <family val="2"/>
      </rPr>
      <t>(</t>
    </r>
    <r>
      <rPr>
        <sz val="10"/>
        <rFont val="FreeSans"/>
        <family val="2"/>
      </rPr>
      <t>ថៃលី</t>
    </r>
    <r>
      <rPr>
        <sz val="10"/>
        <rFont val="Arial"/>
        <family val="2"/>
      </rPr>
      <t>)</t>
    </r>
  </si>
  <si>
    <t>22-042</t>
  </si>
  <si>
    <t>HYbFmC4EEWFibGP4d</t>
  </si>
  <si>
    <t>ផ្សារថ្មី</t>
  </si>
  <si>
    <t>22-265</t>
  </si>
  <si>
    <t>x7NZq6uMBdifWXKNe</t>
  </si>
  <si>
    <t>វ៉ាន់ ហម</t>
  </si>
  <si>
    <t>22-189</t>
  </si>
  <si>
    <t>cTYJxA8bxSj9GWuD4</t>
  </si>
  <si>
    <t>គិត រ៉ាវី</t>
  </si>
  <si>
    <t>22-121</t>
  </si>
  <si>
    <t>5ggAoJWjGkjQuGEDh</t>
  </si>
  <si>
    <t>យ៉ា សារឿន</t>
  </si>
  <si>
    <t>22-137</t>
  </si>
  <si>
    <t>E42Epc5dmq7Rjcbza</t>
  </si>
  <si>
    <t>ទាន់សម័យម៉ាស្សាខារ៉ាអូខេ</t>
  </si>
  <si>
    <t>22-046</t>
  </si>
  <si>
    <t>hit7bMigGH5oZWRmL</t>
  </si>
  <si>
    <t>បេង ភី</t>
  </si>
  <si>
    <t>22-235</t>
  </si>
  <si>
    <t>SGErzaHCmNzEQkXmE</t>
  </si>
  <si>
    <t>សណ្ឋាគារ ឃីង</t>
  </si>
  <si>
    <t>22-060</t>
  </si>
  <si>
    <t>hwmqbTftkFtCg9LKm</t>
  </si>
  <si>
    <t>យ៉ាន បូផៃ សាច់អាំង២</t>
  </si>
  <si>
    <t>22-037</t>
  </si>
  <si>
    <t>njaE3cmQ6QfG7ooxM</t>
  </si>
  <si>
    <t>ម៉ៅ សេងថៃ ភរំចេក៤</t>
  </si>
  <si>
    <t>22-084</t>
  </si>
  <si>
    <t>kPsz9PcTuHCA5bneK</t>
  </si>
  <si>
    <t>យូ ចាន់ទី</t>
  </si>
  <si>
    <t>22-086</t>
  </si>
  <si>
    <t>uza2rAA94saKMYC4t</t>
  </si>
  <si>
    <t>សកលវិទ្យាល័យ ប្រជាជាតិ</t>
  </si>
  <si>
    <t>22-100</t>
  </si>
  <si>
    <t>4jsKQfjy58Eoe8jqF</t>
  </si>
  <si>
    <t>មណ្ឌលវិជ្ជាសាស្ត្រហាន់ដា</t>
  </si>
  <si>
    <t>22-154</t>
  </si>
  <si>
    <t>2ss2FC7udqMd8iTvk</t>
  </si>
  <si>
    <t>សុខ សុខុម</t>
  </si>
  <si>
    <t>22-110</t>
  </si>
  <si>
    <t>CsEJv6rC8vEdvZtJY</t>
  </si>
  <si>
    <t>ឈិត សុក</t>
  </si>
  <si>
    <t>22-256</t>
  </si>
  <si>
    <t>5XonydMHeW3t9MzMz</t>
  </si>
  <si>
    <t>វិទ្យាល័យបៀលប្រាយ ៣</t>
  </si>
  <si>
    <t>22-279</t>
  </si>
  <si>
    <t>TW4vi5DyrtGjiQ9Jx</t>
  </si>
  <si>
    <t>វិទ្យាល័យបៀលប្រាយ ២</t>
  </si>
  <si>
    <t>22-181</t>
  </si>
  <si>
    <t>tB5655DJk227hRPyJ</t>
  </si>
  <si>
    <t>វិទ្យាល័យបៀលប្រាយ ១</t>
  </si>
  <si>
    <t>22-150</t>
  </si>
  <si>
    <t>yDE22ZnTMNXjm4jcw</t>
  </si>
  <si>
    <t>សួន សារុន ត្បូងវត្តសង្កែ</t>
  </si>
  <si>
    <t>22-013</t>
  </si>
  <si>
    <t>xnLCe7u5sTbb7ZzE3</t>
  </si>
  <si>
    <t>ផិត ផៃណុង</t>
  </si>
  <si>
    <t>22-053</t>
  </si>
  <si>
    <t>aRXymMSo8mrZPzL7Z</t>
  </si>
  <si>
    <t>ស៊ុន សារ៉េត</t>
  </si>
  <si>
    <t>22-036</t>
  </si>
  <si>
    <t>HSXGPsiL4ye4sLLuQ</t>
  </si>
  <si>
    <t>ណៃ គឹមសុន ២</t>
  </si>
  <si>
    <t>22-176</t>
  </si>
  <si>
    <t>ZKcF6oyd2L3ektoj8</t>
  </si>
  <si>
    <t>22-022</t>
  </si>
  <si>
    <t>wMY6FktvuCybRtvud</t>
  </si>
  <si>
    <t>គង់ ធី</t>
  </si>
  <si>
    <t>22-283</t>
  </si>
  <si>
    <t>Y9g4yHsWYB4SJBq6e</t>
  </si>
  <si>
    <r>
      <rPr>
        <sz val="10"/>
        <rFont val="FreeSans"/>
        <family val="2"/>
      </rPr>
      <t>វិច តូរីយ៉ា</t>
    </r>
    <r>
      <rPr>
        <sz val="10"/>
        <rFont val="Arial"/>
        <family val="2"/>
      </rPr>
      <t>(</t>
    </r>
    <r>
      <rPr>
        <sz val="10"/>
        <rFont val="FreeSans"/>
        <family val="2"/>
      </rPr>
      <t>សណ្ឋាគារ</t>
    </r>
    <r>
      <rPr>
        <sz val="10"/>
        <rFont val="Arial"/>
        <family val="2"/>
      </rPr>
      <t>)</t>
    </r>
  </si>
  <si>
    <t>22-062</t>
  </si>
  <si>
    <t>LBYqfqrCZ533hzYZc</t>
  </si>
  <si>
    <t>ហុង ឆាយ</t>
  </si>
  <si>
    <t>22-147</t>
  </si>
  <si>
    <t>gD72EFmZGYaDXFXTb</t>
  </si>
  <si>
    <t>តុប ថូលីណា ១</t>
  </si>
  <si>
    <t>22-270</t>
  </si>
  <si>
    <t>GZLG8bJewrPpxL3QA</t>
  </si>
  <si>
    <t>តុប ថូលីណា ២</t>
  </si>
  <si>
    <t>22-271</t>
  </si>
  <si>
    <t>2h5joCM87od7hYDYA</t>
  </si>
  <si>
    <t>ឃេ អូ ភោជនីយដ្ឋាន</t>
  </si>
  <si>
    <t>22-075</t>
  </si>
  <si>
    <t>cM4gtg3XdrDgx3N4H</t>
  </si>
  <si>
    <t>វី ឆែ</t>
  </si>
  <si>
    <t>22-082</t>
  </si>
  <si>
    <t>Xd8dDChTxWB6z67B8</t>
  </si>
  <si>
    <t>អែម សុផល</t>
  </si>
  <si>
    <t>22-257</t>
  </si>
  <si>
    <t>y8BkknAeFhE7ZDgjs</t>
  </si>
  <si>
    <r>
      <rPr>
        <sz val="10"/>
        <rFont val="FreeSans"/>
        <family val="2"/>
      </rPr>
      <t xml:space="preserve">សុខ រ៉ាថន </t>
    </r>
    <r>
      <rPr>
        <sz val="10"/>
        <rFont val="Arial"/>
        <family val="2"/>
      </rPr>
      <t>(</t>
    </r>
    <r>
      <rPr>
        <sz val="10"/>
        <rFont val="FreeSans"/>
        <family val="2"/>
      </rPr>
      <t xml:space="preserve">ការ៉ាស់សាំង សូគីម៉ិច </t>
    </r>
    <r>
      <rPr>
        <sz val="10"/>
        <rFont val="Arial"/>
        <family val="2"/>
      </rPr>
      <t>)</t>
    </r>
  </si>
  <si>
    <t>22-226</t>
  </si>
  <si>
    <t>gG4ztutBdeHhR3rey</t>
  </si>
  <si>
    <t>ឃឹម វុទ្ធី</t>
  </si>
  <si>
    <t>22-033</t>
  </si>
  <si>
    <t>oimZEKzgHujM3jQXi</t>
  </si>
  <si>
    <t>សួន រើន</t>
  </si>
  <si>
    <t>22-193</t>
  </si>
  <si>
    <t>6idqKB87gEeEvhnR6</t>
  </si>
  <si>
    <t>ហ៊ុយុ ហេង</t>
  </si>
  <si>
    <t>22-169</t>
  </si>
  <si>
    <t>c4BtqxuD7aMA8krCQ</t>
  </si>
  <si>
    <t>សាប៊ូ អូហ្សាណូ</t>
  </si>
  <si>
    <t>22-166</t>
  </si>
  <si>
    <t>SDy29g8sFSwx4WAqL</t>
  </si>
  <si>
    <t>ចេង អឿន</t>
  </si>
  <si>
    <t>22-268</t>
  </si>
  <si>
    <t>RRs25EJtMcJybhS67</t>
  </si>
  <si>
    <t>មឹក ហេង</t>
  </si>
  <si>
    <t>22-228</t>
  </si>
  <si>
    <t>Bbf4hzi3JnqEaJ7W2</t>
  </si>
  <si>
    <t>ប៉ោ វណ្ណះ ១</t>
  </si>
  <si>
    <t>22-070</t>
  </si>
  <si>
    <t>zuqEKwQyCRad2QvsQ</t>
  </si>
  <si>
    <t>ប៉ោ វណ្ណះ</t>
  </si>
  <si>
    <t>22-224</t>
  </si>
  <si>
    <t>qZarpJiCEig256p9E</t>
  </si>
  <si>
    <t>ប៉ា សុជាតិវង្ស</t>
  </si>
  <si>
    <t>22-161</t>
  </si>
  <si>
    <t>G8Xqri7MTqhYN6W4w</t>
  </si>
  <si>
    <t>សណ្នាគារ ជយ័ជំនៈ</t>
  </si>
  <si>
    <t>22-103</t>
  </si>
  <si>
    <t>r3EqPmLKz8AbpGNZm</t>
  </si>
  <si>
    <r>
      <rPr>
        <sz val="10"/>
        <rFont val="FreeSans"/>
        <family val="2"/>
      </rPr>
      <t>ផ្ទះ</t>
    </r>
    <r>
      <rPr>
        <sz val="10"/>
        <rFont val="Arial"/>
        <family val="2"/>
      </rPr>
      <t>.</t>
    </r>
    <r>
      <rPr>
        <sz val="10"/>
        <rFont val="FreeSans"/>
        <family val="2"/>
      </rPr>
      <t>សំណាក់មនោរម្យ</t>
    </r>
  </si>
  <si>
    <t>22-011</t>
  </si>
  <si>
    <t>oo8JzKieXJs7C9eaP</t>
  </si>
  <si>
    <t>ហ៊ាង រ៉ាវុធ</t>
  </si>
  <si>
    <t>22-287</t>
  </si>
  <si>
    <t>PhMj8rBokaB32wRYH</t>
  </si>
  <si>
    <t>ស៊ិន ហួរ</t>
  </si>
  <si>
    <t>22-141</t>
  </si>
  <si>
    <t>cotExDipbxpnbvf7Q</t>
  </si>
  <si>
    <t>អាហារដ្ឋានសន្តិភាព</t>
  </si>
  <si>
    <t>22-040</t>
  </si>
  <si>
    <t>xuCce9Thryryt4pwR</t>
  </si>
  <si>
    <r>
      <rPr>
        <sz val="10"/>
        <rFont val="FreeSans"/>
        <family val="2"/>
      </rPr>
      <t xml:space="preserve">ណាំ ទុំ </t>
    </r>
    <r>
      <rPr>
        <sz val="10"/>
        <rFont val="Arial"/>
        <family val="2"/>
      </rPr>
      <t>(</t>
    </r>
    <r>
      <rPr>
        <sz val="10"/>
        <rFont val="FreeSans"/>
        <family val="2"/>
      </rPr>
      <t xml:space="preserve">រ៉ាក់ </t>
    </r>
    <r>
      <rPr>
        <sz val="10"/>
        <rFont val="Arial"/>
        <family val="2"/>
      </rPr>
      <t>)</t>
    </r>
  </si>
  <si>
    <t>22-212</t>
  </si>
  <si>
    <t>jGvqr9hYxNoAJMS55</t>
  </si>
  <si>
    <t>ជឹម ពៅ</t>
  </si>
  <si>
    <t>22-077</t>
  </si>
  <si>
    <t>LWrK2u7jPWYkzNgzM</t>
  </si>
  <si>
    <t>វ៉ាន់ ណារ៉េត</t>
  </si>
  <si>
    <t>22-273</t>
  </si>
  <si>
    <t>swyMHoQqcD89dy8L3</t>
  </si>
  <si>
    <t>ហម សាម៉ុន</t>
  </si>
  <si>
    <t>22-238</t>
  </si>
  <si>
    <t>wd3i8tSR9nTNCpjAX</t>
  </si>
  <si>
    <t>អ៊ឹង គឹមលី</t>
  </si>
  <si>
    <t>22-209</t>
  </si>
  <si>
    <t>uKZhemijQASjzoKBd</t>
  </si>
  <si>
    <t>ហួន ហេង</t>
  </si>
  <si>
    <t>22-250</t>
  </si>
  <si>
    <t>xjNjpamAoqqHnvXSa</t>
  </si>
  <si>
    <r>
      <rPr>
        <sz val="10"/>
        <rFont val="FreeSans"/>
        <family val="2"/>
      </rPr>
      <t>ជឹម ចំណាន</t>
    </r>
    <r>
      <rPr>
        <sz val="10"/>
        <rFont val="Arial"/>
        <family val="2"/>
      </rPr>
      <t>(</t>
    </r>
    <r>
      <rPr>
        <sz val="10"/>
        <rFont val="FreeSans"/>
        <family val="2"/>
      </rPr>
      <t>ឥន្ទ្រីយ៍មាស</t>
    </r>
    <r>
      <rPr>
        <sz val="10"/>
        <rFont val="Arial"/>
        <family val="2"/>
      </rPr>
      <t>)</t>
    </r>
  </si>
  <si>
    <t>22-049</t>
  </si>
  <si>
    <t>EWCXnqoWPPyph5Tcq</t>
  </si>
  <si>
    <t>ហួន ហៀង ភោជនីយដ្ឋានអាស៊ានបៀរ</t>
  </si>
  <si>
    <t>22-076</t>
  </si>
  <si>
    <t>3Tinigr6s27ZJxiGo</t>
  </si>
  <si>
    <t>អ៊ី ផេង</t>
  </si>
  <si>
    <t>22-114</t>
  </si>
  <si>
    <t>Hx2tb5GFLY8c6w33P</t>
  </si>
  <si>
    <t>ទឹម វណ្ណា</t>
  </si>
  <si>
    <t>22-294</t>
  </si>
  <si>
    <t>JgtK7yBeivcw5SHoB</t>
  </si>
  <si>
    <t>ងួន ពន្លក</t>
  </si>
  <si>
    <t>22-262</t>
  </si>
  <si>
    <t>zqycTWnr6zhr2udp9</t>
  </si>
  <si>
    <t>ឡូ សុផល</t>
  </si>
  <si>
    <t>22-165</t>
  </si>
  <si>
    <t>JwyAajkiov7Yfx7sa</t>
  </si>
  <si>
    <t>ពុំ ពេជ្រ</t>
  </si>
  <si>
    <t>22-300</t>
  </si>
  <si>
    <t>9FteTie7C3mer2qTK</t>
  </si>
  <si>
    <t>រាត្រីស្ទឹងសង្គែ</t>
  </si>
  <si>
    <t>22-222</t>
  </si>
  <si>
    <t>qd65rrkxSQmvvXduH</t>
  </si>
  <si>
    <t>បង្គន់អនាម័យសាធារណះ</t>
  </si>
  <si>
    <t>22-239</t>
  </si>
  <si>
    <t>zrE9HTD2Qk3kPim8Q</t>
  </si>
  <si>
    <t>ជ្រិន ញ៉</t>
  </si>
  <si>
    <t>22-099</t>
  </si>
  <si>
    <t>6r89D7xeA2rTbgu4B</t>
  </si>
  <si>
    <t>សណ្ឋាគារប៉ារីស</t>
  </si>
  <si>
    <t>22-002</t>
  </si>
  <si>
    <t>tx5wsG46mSZASyR4r</t>
  </si>
  <si>
    <t>22-003</t>
  </si>
  <si>
    <t>4uRWS3ty3s9n5qFmu</t>
  </si>
  <si>
    <t>ហោ តុងហាប់</t>
  </si>
  <si>
    <t>22-234</t>
  </si>
  <si>
    <t>CZreqThz6C3nejbcR</t>
  </si>
  <si>
    <t>ហត្ថ ធី</t>
  </si>
  <si>
    <t>22-206</t>
  </si>
  <si>
    <t>ttHJqCzAmQqugFBRE</t>
  </si>
  <si>
    <t>អ៊ុក ស៊ីណយ</t>
  </si>
  <si>
    <t>22-260</t>
  </si>
  <si>
    <t>QxCb7MbfxfDK5trEd</t>
  </si>
  <si>
    <t>សេង សុទ្ធី</t>
  </si>
  <si>
    <t>22-177</t>
  </si>
  <si>
    <t>SChTa2y6zDJJbKRpJ</t>
  </si>
  <si>
    <t>ខឹម សាឃឿន</t>
  </si>
  <si>
    <t>22-290</t>
  </si>
  <si>
    <t>9M8SiwxCGu5W7AnDm</t>
  </si>
  <si>
    <t>ក្រុម ជុំនុំ ប៊ី អែស ធី</t>
  </si>
  <si>
    <t>22-133</t>
  </si>
  <si>
    <t>e9w4iQzTXdqqMa2yF</t>
  </si>
  <si>
    <t>អា មួយ</t>
  </si>
  <si>
    <t>22-101</t>
  </si>
  <si>
    <t>n9twny973fbCW8qNT</t>
  </si>
  <si>
    <t>សន និល</t>
  </si>
  <si>
    <t>22-258</t>
  </si>
  <si>
    <t>rjFjWAJrxMcXCLdZ4</t>
  </si>
  <si>
    <t>សណ្ឋាគារស្ទឹងសង្កែ</t>
  </si>
  <si>
    <t>22-187</t>
  </si>
  <si>
    <t>NfJP93voj5eMKEnmm</t>
  </si>
  <si>
    <t>ឈុំ ចាន់</t>
  </si>
  <si>
    <t>22-296</t>
  </si>
  <si>
    <t>ល.រ</t>
  </si>
  <si>
    <t>ឈ្មោះ</t>
  </si>
  <si>
    <t>លេខផ្លូវ</t>
  </si>
  <si>
    <t>ម៉ែត្រគូប</t>
  </si>
  <si>
    <t>ថ្លៃលូទឹកស្អុយ</t>
  </si>
  <si>
    <t>ថែទាំ</t>
  </si>
  <si>
    <t>ថ្លៃប្រើប្រាស់ទឹក</t>
  </si>
  <si>
    <t>ទឹកប្រាក់ត្រូវ</t>
  </si>
  <si>
    <t>ពៅ គឹមហាន(លក់គុយទាវ)</t>
  </si>
  <si>
    <t>អ៊ុយ លីវ(ប្រេងឥន្ទនៈឡាអេ)</t>
  </si>
  <si>
    <t>ឡេង ហេង(សណ្ឋាគារ)</t>
  </si>
  <si>
    <t>ហូ លីដេ(ផ្ទះសំណាក់)</t>
  </si>
  <si>
    <t>ការ៉ាស់សាំង តេលា (អន្លង់វិល )</t>
  </si>
  <si>
    <t>សរុប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</si>
</sst>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_-;\-* #,##0_-;_-* &quot;-&quot;??_-;_-@_-"/>
  </numFmts>
  <fonts count="5">
    <font>
      <sz val="10"/>
      <name val="Arial"/>
      <family val="2"/>
    </font>
    <font>
      <sz val="10"/>
      <name val="Arial"/>
    </font>
    <font>
      <sz val="10"/>
      <name val="FreeSans"/>
      <family val="2"/>
    </font>
    <font>
      <sz val="10"/>
      <name val="Khmer OS Battambang"/>
    </font>
    <font>
      <b/>
      <sz val="10"/>
      <name val="Khmer OS Battambang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Border="0" applyAlignment="0" applyProtection="0"/>
  </cellStyleXfs>
  <cellXfs count="8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horizontal="left"/>
    </xf>
    <xf numFmtId="0" fontId="0" fillId="0" borderId="1" xfId="0" applyFont="1" applyBorder="1"/>
    <xf numFmtId="164" fontId="0" fillId="0" borderId="1" xfId="1" applyNumberFormat="1" applyFont="1" applyBorder="1"/>
    <xf numFmtId="0" fontId="4" fillId="0" borderId="1" xfId="0" applyFont="1" applyBorder="1" applyAlignment="1">
      <alignment horizontal="left"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mph/Desktop/Book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 refreshError="1"/>
      <sheetData sheetId="1">
        <row r="1">
          <cell r="A1" t="str">
            <v>street</v>
          </cell>
          <cell r="B1" t="str">
            <v>_id</v>
          </cell>
          <cell r="C1" t="str">
            <v>barcode</v>
          </cell>
          <cell r="D1" t="str">
            <v>name</v>
          </cell>
          <cell r="E1" t="str">
            <v>paidAmount</v>
          </cell>
          <cell r="F1" t="str">
            <v>streetNo</v>
          </cell>
          <cell r="G1" t="str">
            <v>subBarcode</v>
          </cell>
          <cell r="H1" t="str">
            <v>totalContributionFee</v>
          </cell>
          <cell r="I1" t="str">
            <v>totalMaintenanceFee</v>
          </cell>
          <cell r="J1" t="str">
            <v>totalWaterConsumption</v>
          </cell>
          <cell r="K1" t="str">
            <v>totalWaterUsage</v>
          </cell>
        </row>
        <row r="2">
          <cell r="A2" t="str">
            <v>22-216</v>
          </cell>
          <cell r="B2" t="str">
            <v>SZ2YTgfWYdFyf2gv7</v>
          </cell>
          <cell r="C2">
            <v>171177926</v>
          </cell>
          <cell r="D2" t="str">
            <v>ប៉ាត់ ផលបុត្រ</v>
          </cell>
          <cell r="E2">
            <v>525800</v>
          </cell>
          <cell r="F2">
            <v>216</v>
          </cell>
          <cell r="G2">
            <v>171116985</v>
          </cell>
          <cell r="H2">
            <v>32800</v>
          </cell>
          <cell r="I2">
            <v>1000</v>
          </cell>
          <cell r="J2">
            <v>328</v>
          </cell>
          <cell r="K2">
            <v>492000</v>
          </cell>
        </row>
        <row r="3">
          <cell r="A3" t="str">
            <v>22-172</v>
          </cell>
          <cell r="B3" t="str">
            <v>miuFt5WQkJFy2RJ8Q</v>
          </cell>
          <cell r="C3">
            <v>171177882</v>
          </cell>
          <cell r="D3" t="str">
            <v>ឌុក អៀក</v>
          </cell>
          <cell r="E3">
            <v>162600</v>
          </cell>
          <cell r="F3">
            <v>172</v>
          </cell>
          <cell r="G3">
            <v>171116945</v>
          </cell>
          <cell r="H3">
            <v>10100</v>
          </cell>
          <cell r="I3">
            <v>1000</v>
          </cell>
          <cell r="J3">
            <v>101</v>
          </cell>
          <cell r="K3">
            <v>151500</v>
          </cell>
        </row>
        <row r="4">
          <cell r="A4" t="str">
            <v>22-041</v>
          </cell>
          <cell r="B4" t="str">
            <v>yBKCStQu5SmpiNBZK</v>
          </cell>
          <cell r="C4">
            <v>171177751</v>
          </cell>
          <cell r="D4" t="str">
            <v>ឡេន រ៉ា លក់ពោះគោ២កន្លៈ</v>
          </cell>
          <cell r="E4">
            <v>164200</v>
          </cell>
          <cell r="F4">
            <v>41</v>
          </cell>
          <cell r="G4">
            <v>171116132</v>
          </cell>
          <cell r="H4">
            <v>10200</v>
          </cell>
          <cell r="I4">
            <v>1000</v>
          </cell>
          <cell r="J4">
            <v>102</v>
          </cell>
          <cell r="K4">
            <v>153000</v>
          </cell>
        </row>
        <row r="5">
          <cell r="A5" t="str">
            <v>22-048</v>
          </cell>
          <cell r="B5" t="str">
            <v>K2wwBoJD2uL8x5bBd</v>
          </cell>
          <cell r="C5">
            <v>171177758</v>
          </cell>
          <cell r="D5" t="str">
            <v>ពៅ គឹមហាន(លក់គុយទាវ)</v>
          </cell>
          <cell r="E5">
            <v>325800</v>
          </cell>
          <cell r="F5">
            <v>48</v>
          </cell>
          <cell r="G5">
            <v>171116139</v>
          </cell>
          <cell r="H5">
            <v>20300</v>
          </cell>
          <cell r="I5">
            <v>1000</v>
          </cell>
          <cell r="J5">
            <v>203</v>
          </cell>
          <cell r="K5">
            <v>304500</v>
          </cell>
        </row>
        <row r="6">
          <cell r="A6" t="str">
            <v>22-024</v>
          </cell>
          <cell r="B6" t="str">
            <v>PwSpN2TuD3MnL6nA9</v>
          </cell>
          <cell r="C6">
            <v>171177734</v>
          </cell>
          <cell r="D6" t="str">
            <v>សមាគមជនជាតិចិនលាងហួ</v>
          </cell>
          <cell r="E6">
            <v>317800</v>
          </cell>
          <cell r="F6">
            <v>24</v>
          </cell>
          <cell r="G6">
            <v>171116115</v>
          </cell>
          <cell r="H6">
            <v>19800</v>
          </cell>
          <cell r="I6">
            <v>1000</v>
          </cell>
          <cell r="J6">
            <v>198</v>
          </cell>
          <cell r="K6">
            <v>297000</v>
          </cell>
        </row>
        <row r="7">
          <cell r="A7" t="str">
            <v>22-130</v>
          </cell>
          <cell r="B7" t="str">
            <v>PSBppPmvHR3gCkBMe</v>
          </cell>
          <cell r="C7">
            <v>171177840</v>
          </cell>
          <cell r="D7" t="str">
            <v>លឹម ឆាយ ៤</v>
          </cell>
          <cell r="E7">
            <v>509800</v>
          </cell>
          <cell r="F7">
            <v>130</v>
          </cell>
          <cell r="G7">
            <v>171116215</v>
          </cell>
          <cell r="H7">
            <v>31800</v>
          </cell>
          <cell r="I7">
            <v>1000</v>
          </cell>
          <cell r="J7">
            <v>318</v>
          </cell>
          <cell r="K7">
            <v>477000</v>
          </cell>
        </row>
        <row r="8">
          <cell r="A8" t="str">
            <v>22-129</v>
          </cell>
          <cell r="B8" t="str">
            <v>DQvpt4iouB2vc2ETB</v>
          </cell>
          <cell r="C8">
            <v>171177839</v>
          </cell>
          <cell r="D8" t="str">
            <v>លឹម ឆាយ ៣</v>
          </cell>
          <cell r="E8">
            <v>613800</v>
          </cell>
          <cell r="F8">
            <v>129</v>
          </cell>
          <cell r="G8">
            <v>171116214</v>
          </cell>
          <cell r="H8">
            <v>38300</v>
          </cell>
          <cell r="I8">
            <v>1000</v>
          </cell>
          <cell r="J8">
            <v>383</v>
          </cell>
          <cell r="K8">
            <v>574500</v>
          </cell>
        </row>
        <row r="9">
          <cell r="A9" t="str">
            <v>22-128</v>
          </cell>
          <cell r="B9" t="str">
            <v>iQRW8Ecbo69EcTTg3</v>
          </cell>
          <cell r="C9">
            <v>171177838</v>
          </cell>
          <cell r="D9" t="str">
            <v>លឹម ឆាយ ២</v>
          </cell>
          <cell r="E9">
            <v>327400</v>
          </cell>
          <cell r="F9">
            <v>128</v>
          </cell>
          <cell r="G9">
            <v>171116213</v>
          </cell>
          <cell r="H9">
            <v>20400</v>
          </cell>
          <cell r="I9">
            <v>1000</v>
          </cell>
          <cell r="J9">
            <v>204</v>
          </cell>
          <cell r="K9">
            <v>306000</v>
          </cell>
        </row>
        <row r="10">
          <cell r="A10" t="str">
            <v>22-025</v>
          </cell>
          <cell r="B10" t="str">
            <v>gxTHBphAkAibLe9LJ</v>
          </cell>
          <cell r="C10">
            <v>171177735</v>
          </cell>
          <cell r="D10" t="str">
            <v>លឹម ឆាយ ១</v>
          </cell>
          <cell r="E10">
            <v>986600</v>
          </cell>
          <cell r="F10">
            <v>25</v>
          </cell>
          <cell r="G10">
            <v>171116116</v>
          </cell>
          <cell r="H10">
            <v>61600</v>
          </cell>
          <cell r="I10">
            <v>1000</v>
          </cell>
          <cell r="J10">
            <v>616</v>
          </cell>
          <cell r="K10">
            <v>924000</v>
          </cell>
        </row>
        <row r="11">
          <cell r="A11" t="str">
            <v>22-093</v>
          </cell>
          <cell r="B11" t="str">
            <v>Li3Lu9XhrLJxNJnJu</v>
          </cell>
          <cell r="C11">
            <v>171177803</v>
          </cell>
          <cell r="D11" t="str">
            <v>សមាគមគុយទាវ</v>
          </cell>
          <cell r="E11">
            <v>1333800</v>
          </cell>
          <cell r="F11">
            <v>93</v>
          </cell>
          <cell r="G11">
            <v>171116180</v>
          </cell>
          <cell r="H11">
            <v>83300</v>
          </cell>
          <cell r="I11">
            <v>1000</v>
          </cell>
          <cell r="J11">
            <v>833</v>
          </cell>
          <cell r="K11">
            <v>1249500</v>
          </cell>
        </row>
        <row r="12">
          <cell r="A12" t="str">
            <v>22-004</v>
          </cell>
          <cell r="B12" t="str">
            <v>jzc7hBt2MbbpQLBK4</v>
          </cell>
          <cell r="C12">
            <v>171177714</v>
          </cell>
          <cell r="D12" t="str">
            <v>សណ្ឋាគាររ៉ូយ៉ាល់</v>
          </cell>
          <cell r="E12">
            <v>217000</v>
          </cell>
          <cell r="F12">
            <v>4</v>
          </cell>
          <cell r="G12">
            <v>171116097</v>
          </cell>
          <cell r="H12">
            <v>13500</v>
          </cell>
          <cell r="I12">
            <v>1000</v>
          </cell>
          <cell r="J12">
            <v>135</v>
          </cell>
          <cell r="K12">
            <v>202500</v>
          </cell>
        </row>
        <row r="13">
          <cell r="A13" t="str">
            <v>22-005</v>
          </cell>
          <cell r="B13" t="str">
            <v>te95vpimuC6yMgLZA</v>
          </cell>
          <cell r="C13">
            <v>171177715</v>
          </cell>
          <cell r="D13" t="str">
            <v>សណ្ឋាគាររ៉ូយ៉ាល់</v>
          </cell>
          <cell r="E13">
            <v>245800</v>
          </cell>
          <cell r="F13">
            <v>5</v>
          </cell>
          <cell r="G13">
            <v>171116098</v>
          </cell>
          <cell r="H13">
            <v>15300</v>
          </cell>
          <cell r="I13">
            <v>1000</v>
          </cell>
          <cell r="J13">
            <v>153</v>
          </cell>
          <cell r="K13">
            <v>229500</v>
          </cell>
        </row>
        <row r="14">
          <cell r="A14" t="str">
            <v>22-168</v>
          </cell>
          <cell r="B14" t="str">
            <v>gfDm9e6vJv8qn9apE</v>
          </cell>
          <cell r="C14">
            <v>171177878</v>
          </cell>
          <cell r="D14" t="str">
            <v>សយ បូរ៉ា</v>
          </cell>
          <cell r="E14">
            <v>106600</v>
          </cell>
          <cell r="F14">
            <v>168</v>
          </cell>
          <cell r="G14">
            <v>171116942</v>
          </cell>
          <cell r="H14">
            <v>6600</v>
          </cell>
          <cell r="I14">
            <v>1000</v>
          </cell>
          <cell r="J14">
            <v>66</v>
          </cell>
          <cell r="K14">
            <v>99000</v>
          </cell>
        </row>
        <row r="15">
          <cell r="A15" t="str">
            <v>22-278</v>
          </cell>
          <cell r="B15" t="str">
            <v>NK8EL5ZT9htBv6zqA</v>
          </cell>
          <cell r="C15">
            <v>171177988</v>
          </cell>
          <cell r="D15" t="str">
            <v>ឃុន ងួនហុង</v>
          </cell>
          <cell r="E15">
            <v>612200</v>
          </cell>
          <cell r="F15">
            <v>278</v>
          </cell>
          <cell r="G15">
            <v>171117043</v>
          </cell>
          <cell r="H15">
            <v>38200</v>
          </cell>
          <cell r="I15">
            <v>1000</v>
          </cell>
          <cell r="J15">
            <v>382</v>
          </cell>
          <cell r="K15">
            <v>573000</v>
          </cell>
        </row>
        <row r="16">
          <cell r="A16" t="str">
            <v>22-160</v>
          </cell>
          <cell r="B16" t="str">
            <v>5SW4rEtL3N6Nk595B</v>
          </cell>
          <cell r="C16">
            <v>171177870</v>
          </cell>
          <cell r="D16" t="str">
            <v>វែង សុផល</v>
          </cell>
          <cell r="E16">
            <v>97000</v>
          </cell>
          <cell r="F16">
            <v>160</v>
          </cell>
          <cell r="G16">
            <v>171116935</v>
          </cell>
          <cell r="H16">
            <v>6000</v>
          </cell>
          <cell r="I16">
            <v>1000</v>
          </cell>
          <cell r="J16">
            <v>60</v>
          </cell>
          <cell r="K16">
            <v>90000</v>
          </cell>
        </row>
        <row r="17">
          <cell r="A17" t="str">
            <v>22-247</v>
          </cell>
          <cell r="B17" t="str">
            <v>97xkw76qninaPRy27</v>
          </cell>
          <cell r="C17">
            <v>171177957</v>
          </cell>
          <cell r="D17" t="str">
            <v>ឌុក ឆវេត</v>
          </cell>
          <cell r="E17">
            <v>84200</v>
          </cell>
          <cell r="F17">
            <v>247</v>
          </cell>
          <cell r="G17">
            <v>171117013</v>
          </cell>
          <cell r="H17">
            <v>5200</v>
          </cell>
          <cell r="I17">
            <v>1000</v>
          </cell>
          <cell r="J17">
            <v>52</v>
          </cell>
          <cell r="K17">
            <v>78000</v>
          </cell>
        </row>
        <row r="18">
          <cell r="A18" t="str">
            <v>22-194</v>
          </cell>
          <cell r="B18" t="str">
            <v>qe7DRexAGAKgwPaBx</v>
          </cell>
          <cell r="C18">
            <v>171177904</v>
          </cell>
          <cell r="D18" t="str">
            <v>លឹម ទៀហេង</v>
          </cell>
          <cell r="E18">
            <v>63400</v>
          </cell>
          <cell r="F18">
            <v>194</v>
          </cell>
          <cell r="G18">
            <v>171116965</v>
          </cell>
          <cell r="H18">
            <v>3900</v>
          </cell>
          <cell r="I18">
            <v>1000</v>
          </cell>
          <cell r="J18">
            <v>39</v>
          </cell>
          <cell r="K18">
            <v>58500</v>
          </cell>
        </row>
        <row r="19">
          <cell r="A19" t="str">
            <v>22-039</v>
          </cell>
          <cell r="B19" t="str">
            <v>KcCMvZWmHqGsQqjcH</v>
          </cell>
          <cell r="C19">
            <v>171177749</v>
          </cell>
          <cell r="D19" t="str">
            <v>សៀ ស៊ិន</v>
          </cell>
          <cell r="E19">
            <v>23400</v>
          </cell>
          <cell r="F19">
            <v>39</v>
          </cell>
          <cell r="G19">
            <v>171116130</v>
          </cell>
          <cell r="H19">
            <v>1400</v>
          </cell>
          <cell r="I19">
            <v>1000</v>
          </cell>
          <cell r="J19">
            <v>14</v>
          </cell>
          <cell r="K19">
            <v>21000</v>
          </cell>
        </row>
        <row r="20">
          <cell r="A20" t="str">
            <v>22-050</v>
          </cell>
          <cell r="B20" t="str">
            <v>vaoKJhJp8zXRQz2XQ</v>
          </cell>
          <cell r="C20">
            <v>171177760</v>
          </cell>
          <cell r="D20" t="str">
            <v>អ៊ុយ លីវ(ប្រេងឥន្ទនៈឡាអេ)</v>
          </cell>
          <cell r="E20">
            <v>82600</v>
          </cell>
          <cell r="F20">
            <v>50</v>
          </cell>
          <cell r="G20">
            <v>171116141</v>
          </cell>
          <cell r="H20">
            <v>5100</v>
          </cell>
          <cell r="I20">
            <v>1000</v>
          </cell>
          <cell r="J20">
            <v>51</v>
          </cell>
          <cell r="K20">
            <v>76500</v>
          </cell>
        </row>
        <row r="21">
          <cell r="A21" t="str">
            <v>22-059</v>
          </cell>
          <cell r="B21" t="str">
            <v>baNjxC3FkxvcycqBE</v>
          </cell>
          <cell r="C21">
            <v>171177769</v>
          </cell>
          <cell r="D21" t="str">
            <v>សណ្ឋាគារស្តារ អ៊ុន ផល្លា</v>
          </cell>
          <cell r="E21">
            <v>394600</v>
          </cell>
          <cell r="F21">
            <v>59</v>
          </cell>
          <cell r="G21">
            <v>171116149</v>
          </cell>
          <cell r="H21">
            <v>24600</v>
          </cell>
          <cell r="I21">
            <v>1000</v>
          </cell>
          <cell r="J21">
            <v>246</v>
          </cell>
          <cell r="K21">
            <v>369000</v>
          </cell>
        </row>
        <row r="22">
          <cell r="A22" t="str">
            <v>22-030</v>
          </cell>
          <cell r="B22" t="str">
            <v>AWvohJYB622a8uw2Z</v>
          </cell>
          <cell r="C22">
            <v>171177740</v>
          </cell>
          <cell r="D22" t="str">
            <v>អ៊ុន ម៉េង​ សណ្ឋាគារអាស៊ី</v>
          </cell>
          <cell r="E22">
            <v>364200</v>
          </cell>
          <cell r="F22">
            <v>30</v>
          </cell>
          <cell r="G22">
            <v>171116121</v>
          </cell>
          <cell r="H22">
            <v>22700</v>
          </cell>
          <cell r="I22">
            <v>1000</v>
          </cell>
          <cell r="J22">
            <v>227</v>
          </cell>
          <cell r="K22">
            <v>340500</v>
          </cell>
        </row>
        <row r="23">
          <cell r="A23" t="str">
            <v>22-038</v>
          </cell>
          <cell r="B23" t="str">
            <v>PqeZD7m3mqWcYFm9T</v>
          </cell>
          <cell r="C23">
            <v>171177748</v>
          </cell>
          <cell r="D23" t="str">
            <v>សុខ សុខុន ពីស៊ីនទឹក</v>
          </cell>
          <cell r="E23">
            <v>63400</v>
          </cell>
          <cell r="F23">
            <v>38</v>
          </cell>
          <cell r="G23">
            <v>171116129</v>
          </cell>
          <cell r="H23">
            <v>3900</v>
          </cell>
          <cell r="I23">
            <v>1000</v>
          </cell>
          <cell r="J23">
            <v>39</v>
          </cell>
          <cell r="K23">
            <v>58500</v>
          </cell>
        </row>
        <row r="24">
          <cell r="A24" t="str">
            <v>22-251</v>
          </cell>
          <cell r="B24" t="str">
            <v>N9zPuWn4vNfd8kXyD</v>
          </cell>
          <cell r="C24">
            <v>171177961</v>
          </cell>
          <cell r="D24" t="str">
            <v>ស៊ុន លីនណា</v>
          </cell>
          <cell r="E24">
            <v>28200</v>
          </cell>
          <cell r="F24">
            <v>251</v>
          </cell>
          <cell r="G24">
            <v>171117017</v>
          </cell>
          <cell r="H24">
            <v>1700</v>
          </cell>
          <cell r="I24">
            <v>1000</v>
          </cell>
          <cell r="J24">
            <v>17</v>
          </cell>
          <cell r="K24">
            <v>25500</v>
          </cell>
        </row>
        <row r="25">
          <cell r="A25" t="str">
            <v>22-008</v>
          </cell>
          <cell r="B25" t="str">
            <v>vxhCc4WR75KLW5KkT</v>
          </cell>
          <cell r="C25">
            <v>171177718</v>
          </cell>
          <cell r="D25" t="str">
            <v>សណ្ឋាគារតេអូ</v>
          </cell>
          <cell r="E25">
            <v>404200</v>
          </cell>
          <cell r="F25">
            <v>8</v>
          </cell>
          <cell r="G25">
            <v>171116100</v>
          </cell>
          <cell r="H25">
            <v>25200</v>
          </cell>
          <cell r="I25">
            <v>1000</v>
          </cell>
          <cell r="J25">
            <v>252</v>
          </cell>
          <cell r="K25">
            <v>378000</v>
          </cell>
        </row>
        <row r="26">
          <cell r="A26" t="str">
            <v>22-111</v>
          </cell>
          <cell r="B26" t="str">
            <v>B2xC2cgx962iSJc7J</v>
          </cell>
          <cell r="C26">
            <v>171177821</v>
          </cell>
          <cell r="D26" t="str">
            <v>ផ្សារលក់ត្រី</v>
          </cell>
          <cell r="E26">
            <v>357800</v>
          </cell>
          <cell r="F26">
            <v>111</v>
          </cell>
          <cell r="G26">
            <v>171116197</v>
          </cell>
          <cell r="H26">
            <v>22300</v>
          </cell>
          <cell r="I26">
            <v>1000</v>
          </cell>
          <cell r="J26">
            <v>223</v>
          </cell>
          <cell r="K26">
            <v>334500</v>
          </cell>
        </row>
        <row r="27">
          <cell r="A27" t="str">
            <v>22-244</v>
          </cell>
          <cell r="B27" t="str">
            <v>F8bigkGM5CqqmChwX</v>
          </cell>
          <cell r="C27">
            <v>171177954</v>
          </cell>
          <cell r="D27" t="str">
            <v>ស ឌឿ</v>
          </cell>
          <cell r="E27">
            <v>625000</v>
          </cell>
          <cell r="F27">
            <v>244</v>
          </cell>
          <cell r="G27">
            <v>171117010</v>
          </cell>
          <cell r="H27">
            <v>39000</v>
          </cell>
          <cell r="I27">
            <v>1000</v>
          </cell>
          <cell r="J27">
            <v>390</v>
          </cell>
          <cell r="K27">
            <v>585000</v>
          </cell>
        </row>
        <row r="28">
          <cell r="A28" t="str">
            <v>22-217</v>
          </cell>
          <cell r="B28" t="str">
            <v>fyQqzz7TaacBJk74D</v>
          </cell>
          <cell r="C28">
            <v>171177927</v>
          </cell>
          <cell r="D28" t="str">
            <v>ប៊ុន សុវណ្ណ</v>
          </cell>
          <cell r="E28">
            <v>905000</v>
          </cell>
          <cell r="F28">
            <v>217</v>
          </cell>
          <cell r="G28">
            <v>171116986</v>
          </cell>
          <cell r="H28">
            <v>56500</v>
          </cell>
          <cell r="I28">
            <v>1000</v>
          </cell>
          <cell r="J28">
            <v>565</v>
          </cell>
          <cell r="K28">
            <v>847500</v>
          </cell>
        </row>
        <row r="29">
          <cell r="A29" t="str">
            <v>22-026</v>
          </cell>
          <cell r="B29" t="str">
            <v>Tbr5u8S2gr69BT6ag</v>
          </cell>
          <cell r="C29">
            <v>171177736</v>
          </cell>
          <cell r="D29" t="str">
            <v>សាខាគយនិងរដ្ឋាករខេត្ត</v>
          </cell>
          <cell r="E29">
            <v>623400</v>
          </cell>
          <cell r="F29">
            <v>26</v>
          </cell>
          <cell r="G29">
            <v>171116117</v>
          </cell>
          <cell r="H29">
            <v>38900</v>
          </cell>
          <cell r="I29">
            <v>1000</v>
          </cell>
          <cell r="J29">
            <v>389</v>
          </cell>
          <cell r="K29">
            <v>583500</v>
          </cell>
        </row>
        <row r="30">
          <cell r="A30" t="str">
            <v>22-275</v>
          </cell>
          <cell r="B30" t="str">
            <v>STTeMtYXpSDqL9eZj</v>
          </cell>
          <cell r="C30">
            <v>171177985</v>
          </cell>
          <cell r="D30" t="str">
            <v>សួន វណ្ណនេត</v>
          </cell>
          <cell r="E30">
            <v>708200</v>
          </cell>
          <cell r="F30">
            <v>275</v>
          </cell>
          <cell r="G30">
            <v>171117040</v>
          </cell>
          <cell r="H30">
            <v>44200</v>
          </cell>
          <cell r="I30">
            <v>1000</v>
          </cell>
          <cell r="J30">
            <v>442</v>
          </cell>
          <cell r="K30">
            <v>663000</v>
          </cell>
        </row>
        <row r="31">
          <cell r="A31" t="str">
            <v>22-227</v>
          </cell>
          <cell r="B31" t="str">
            <v>SYbBCuFWpyXuzKabD</v>
          </cell>
          <cell r="C31">
            <v>171177937</v>
          </cell>
          <cell r="D31" t="str">
            <v>ឈឹម ស៊ួ</v>
          </cell>
          <cell r="E31">
            <v>130600</v>
          </cell>
          <cell r="F31">
            <v>227</v>
          </cell>
          <cell r="G31">
            <v>171116995</v>
          </cell>
          <cell r="H31">
            <v>8100</v>
          </cell>
          <cell r="I31">
            <v>1000</v>
          </cell>
          <cell r="J31">
            <v>81</v>
          </cell>
          <cell r="K31">
            <v>121500</v>
          </cell>
        </row>
        <row r="32">
          <cell r="A32" t="str">
            <v>22-202</v>
          </cell>
          <cell r="B32" t="str">
            <v>J7oGhc6d3t6FQa3Z4</v>
          </cell>
          <cell r="C32">
            <v>171177912</v>
          </cell>
          <cell r="D32" t="str">
            <v>សាឌុន សារិទ្ធ</v>
          </cell>
          <cell r="E32">
            <v>105000</v>
          </cell>
          <cell r="F32">
            <v>202</v>
          </cell>
          <cell r="G32">
            <v>171116972</v>
          </cell>
          <cell r="H32">
            <v>6500</v>
          </cell>
          <cell r="I32">
            <v>1000</v>
          </cell>
          <cell r="J32">
            <v>65</v>
          </cell>
          <cell r="K32">
            <v>97500</v>
          </cell>
        </row>
        <row r="33">
          <cell r="A33" t="str">
            <v>22-259</v>
          </cell>
          <cell r="B33" t="str">
            <v>jRQPM2BruqsaFtgNt</v>
          </cell>
          <cell r="C33">
            <v>171177969</v>
          </cell>
          <cell r="D33" t="str">
            <v>គឹម មុន្នី</v>
          </cell>
          <cell r="E33">
            <v>117800</v>
          </cell>
          <cell r="F33">
            <v>259</v>
          </cell>
          <cell r="G33">
            <v>171117025</v>
          </cell>
          <cell r="H33">
            <v>7300</v>
          </cell>
          <cell r="I33">
            <v>1000</v>
          </cell>
          <cell r="J33">
            <v>73</v>
          </cell>
          <cell r="K33">
            <v>109500</v>
          </cell>
        </row>
        <row r="34">
          <cell r="A34" t="str">
            <v>22-240</v>
          </cell>
          <cell r="B34" t="str">
            <v>TT4YgyuduEa3yMpbk</v>
          </cell>
          <cell r="C34">
            <v>171177950</v>
          </cell>
          <cell r="D34" t="str">
            <v>តុក សុងសួ</v>
          </cell>
          <cell r="E34">
            <v>130600</v>
          </cell>
          <cell r="F34">
            <v>240</v>
          </cell>
          <cell r="G34">
            <v>171117006</v>
          </cell>
          <cell r="H34">
            <v>8100</v>
          </cell>
          <cell r="I34">
            <v>1000</v>
          </cell>
          <cell r="J34">
            <v>81</v>
          </cell>
          <cell r="K34">
            <v>121500</v>
          </cell>
        </row>
        <row r="35">
          <cell r="A35" t="str">
            <v>22-105</v>
          </cell>
          <cell r="B35" t="str">
            <v>cqjnybiMDAgSavmzb</v>
          </cell>
          <cell r="C35">
            <v>171177815</v>
          </cell>
          <cell r="D35" t="str">
            <v>នូ ណូរ៉ា</v>
          </cell>
          <cell r="E35">
            <v>85800</v>
          </cell>
          <cell r="F35">
            <v>105</v>
          </cell>
          <cell r="G35">
            <v>171116191</v>
          </cell>
          <cell r="H35">
            <v>5300</v>
          </cell>
          <cell r="I35">
            <v>1000</v>
          </cell>
          <cell r="J35">
            <v>53</v>
          </cell>
          <cell r="K35">
            <v>79500</v>
          </cell>
        </row>
        <row r="36">
          <cell r="A36" t="str">
            <v>22-047</v>
          </cell>
          <cell r="B36" t="str">
            <v>kBskbSaeekjxKvhPa</v>
          </cell>
          <cell r="C36">
            <v>171177757</v>
          </cell>
          <cell r="D36" t="str">
            <v>ទូច លាងខេង</v>
          </cell>
          <cell r="E36">
            <v>33000</v>
          </cell>
          <cell r="F36">
            <v>47</v>
          </cell>
          <cell r="G36">
            <v>171116138</v>
          </cell>
          <cell r="H36">
            <v>2000</v>
          </cell>
          <cell r="I36">
            <v>1000</v>
          </cell>
          <cell r="J36">
            <v>20</v>
          </cell>
          <cell r="K36">
            <v>30000</v>
          </cell>
        </row>
        <row r="37">
          <cell r="A37" t="str">
            <v>22-171</v>
          </cell>
          <cell r="B37" t="str">
            <v>ALjoRHujYSWnxLETD</v>
          </cell>
          <cell r="C37">
            <v>171177881</v>
          </cell>
          <cell r="D37" t="str">
            <v>ហុង សារិន</v>
          </cell>
          <cell r="E37">
            <v>74600</v>
          </cell>
          <cell r="F37">
            <v>171</v>
          </cell>
          <cell r="G37">
            <v>171116944</v>
          </cell>
          <cell r="H37">
            <v>4600</v>
          </cell>
          <cell r="I37">
            <v>1000</v>
          </cell>
          <cell r="J37">
            <v>46</v>
          </cell>
          <cell r="K37">
            <v>69000</v>
          </cell>
        </row>
        <row r="38">
          <cell r="A38" t="str">
            <v>22-061</v>
          </cell>
          <cell r="B38" t="str">
            <v>4g6XyN94QygQKF9NC</v>
          </cell>
          <cell r="C38">
            <v>171177771</v>
          </cell>
          <cell r="D38" t="str">
            <v>ឡេង ហេង(សណ្ឋាគារ)</v>
          </cell>
          <cell r="E38">
            <v>991400</v>
          </cell>
          <cell r="F38">
            <v>61</v>
          </cell>
          <cell r="G38">
            <v>171116151</v>
          </cell>
          <cell r="H38">
            <v>61900</v>
          </cell>
          <cell r="I38">
            <v>1000</v>
          </cell>
          <cell r="J38">
            <v>619</v>
          </cell>
          <cell r="K38">
            <v>928500</v>
          </cell>
        </row>
        <row r="39">
          <cell r="A39" t="str">
            <v>22-245</v>
          </cell>
          <cell r="B39" t="str">
            <v>xNe2td52scLsLe4bD</v>
          </cell>
          <cell r="C39">
            <v>171177955</v>
          </cell>
          <cell r="D39" t="str">
            <v>អ៊ុំ ចំរើន</v>
          </cell>
          <cell r="E39">
            <v>121000</v>
          </cell>
          <cell r="F39">
            <v>245</v>
          </cell>
          <cell r="G39">
            <v>171117011</v>
          </cell>
          <cell r="H39">
            <v>7500</v>
          </cell>
          <cell r="I39">
            <v>1000</v>
          </cell>
          <cell r="J39">
            <v>75</v>
          </cell>
          <cell r="K39">
            <v>112500</v>
          </cell>
        </row>
        <row r="40">
          <cell r="A40" t="str">
            <v>22-167</v>
          </cell>
          <cell r="B40" t="str">
            <v>RvPSrCBK3tgiwhux5</v>
          </cell>
          <cell r="C40">
            <v>171177877</v>
          </cell>
          <cell r="D40" t="str">
            <v>នក់ ម៉ង់</v>
          </cell>
          <cell r="E40">
            <v>93800</v>
          </cell>
          <cell r="F40">
            <v>167</v>
          </cell>
          <cell r="G40">
            <v>171116941</v>
          </cell>
          <cell r="H40">
            <v>5800</v>
          </cell>
          <cell r="I40">
            <v>1000</v>
          </cell>
          <cell r="J40">
            <v>58</v>
          </cell>
          <cell r="K40">
            <v>87000</v>
          </cell>
        </row>
        <row r="41">
          <cell r="A41" t="str">
            <v>22-074</v>
          </cell>
          <cell r="B41" t="str">
            <v>tExrCJmkFAHe2Afuo</v>
          </cell>
          <cell r="C41">
            <v>171177784</v>
          </cell>
          <cell r="D41" t="str">
            <v>ជា ពលរិទ្ធ ខារ៉ាអូឃេ</v>
          </cell>
          <cell r="E41">
            <v>236200</v>
          </cell>
          <cell r="F41">
            <v>74</v>
          </cell>
          <cell r="G41">
            <v>171116163</v>
          </cell>
          <cell r="H41">
            <v>14700</v>
          </cell>
          <cell r="I41">
            <v>1000</v>
          </cell>
          <cell r="J41">
            <v>147</v>
          </cell>
          <cell r="K41">
            <v>220500</v>
          </cell>
        </row>
        <row r="42">
          <cell r="A42" t="str">
            <v>22-073</v>
          </cell>
          <cell r="B42" t="str">
            <v>zXdsaSmEq5roRSvkq</v>
          </cell>
          <cell r="C42">
            <v>171177783</v>
          </cell>
          <cell r="D42" t="str">
            <v>ប្រេងតេលា ផ្លូវលេខ៣</v>
          </cell>
          <cell r="E42">
            <v>333800</v>
          </cell>
          <cell r="F42">
            <v>73</v>
          </cell>
          <cell r="G42">
            <v>171116162</v>
          </cell>
          <cell r="H42">
            <v>20800</v>
          </cell>
          <cell r="I42">
            <v>1000</v>
          </cell>
          <cell r="J42">
            <v>208</v>
          </cell>
          <cell r="K42">
            <v>312000</v>
          </cell>
        </row>
        <row r="43">
          <cell r="A43" t="str">
            <v>22-223</v>
          </cell>
          <cell r="B43" t="str">
            <v>SHhk3xW99yXQQtdCc</v>
          </cell>
          <cell r="C43">
            <v>171177933</v>
          </cell>
          <cell r="D43" t="str">
            <v>អាហារដ្ឋានរីករាយ</v>
          </cell>
          <cell r="E43">
            <v>149800</v>
          </cell>
          <cell r="F43">
            <v>223</v>
          </cell>
          <cell r="G43">
            <v>171116992</v>
          </cell>
          <cell r="H43">
            <v>9300</v>
          </cell>
          <cell r="I43">
            <v>1000</v>
          </cell>
          <cell r="J43">
            <v>93</v>
          </cell>
          <cell r="K43">
            <v>139500</v>
          </cell>
        </row>
        <row r="44">
          <cell r="A44" t="str">
            <v>22-066</v>
          </cell>
          <cell r="B44" t="str">
            <v>Kocn4qjC8nWhiSKNa</v>
          </cell>
          <cell r="C44">
            <v>171177776</v>
          </cell>
          <cell r="D44" t="str">
            <v>ហូ លីដេ(ផ្ទះសំណាក់)</v>
          </cell>
          <cell r="E44">
            <v>247400</v>
          </cell>
          <cell r="F44">
            <v>66</v>
          </cell>
          <cell r="G44">
            <v>171116155</v>
          </cell>
          <cell r="H44">
            <v>15400</v>
          </cell>
          <cell r="I44">
            <v>1000</v>
          </cell>
          <cell r="J44">
            <v>154</v>
          </cell>
          <cell r="K44">
            <v>231000</v>
          </cell>
        </row>
        <row r="45">
          <cell r="A45" t="str">
            <v>22-145</v>
          </cell>
          <cell r="B45" t="str">
            <v>MpKkiHmXHzLNu7AJ4</v>
          </cell>
          <cell r="C45">
            <v>171177855</v>
          </cell>
          <cell r="D45" t="str">
            <v>ការ៉ាស់សាំង តេលា (អន្លង់វិល )</v>
          </cell>
          <cell r="E45">
            <v>509800</v>
          </cell>
          <cell r="F45">
            <v>145</v>
          </cell>
          <cell r="G45">
            <v>171116920</v>
          </cell>
          <cell r="H45">
            <v>31800</v>
          </cell>
          <cell r="I45">
            <v>1000</v>
          </cell>
          <cell r="J45">
            <v>318</v>
          </cell>
          <cell r="K45">
            <v>477000</v>
          </cell>
        </row>
        <row r="46">
          <cell r="A46" t="str">
            <v>22-156</v>
          </cell>
          <cell r="B46" t="str">
            <v>owKATmwk22tyYiMG4</v>
          </cell>
          <cell r="C46">
            <v>171177866</v>
          </cell>
          <cell r="D46" t="str">
            <v>ព្រឿន សឿត</v>
          </cell>
          <cell r="E46">
            <v>34600</v>
          </cell>
          <cell r="F46">
            <v>156</v>
          </cell>
          <cell r="G46">
            <v>171116931</v>
          </cell>
          <cell r="H46">
            <v>2100</v>
          </cell>
          <cell r="I46">
            <v>1000</v>
          </cell>
          <cell r="J46">
            <v>21</v>
          </cell>
          <cell r="K46">
            <v>31500</v>
          </cell>
        </row>
        <row r="47">
          <cell r="A47" t="str">
            <v>22-277</v>
          </cell>
          <cell r="B47" t="str">
            <v>YzrR4DNjrWBugv9nY</v>
          </cell>
          <cell r="C47">
            <v>171177987</v>
          </cell>
          <cell r="D47" t="str">
            <v>គាន ថៃ ១</v>
          </cell>
          <cell r="E47">
            <v>82600</v>
          </cell>
          <cell r="F47">
            <v>277</v>
          </cell>
          <cell r="G47">
            <v>171117042</v>
          </cell>
          <cell r="H47">
            <v>5100</v>
          </cell>
          <cell r="I47">
            <v>1000</v>
          </cell>
          <cell r="J47">
            <v>51</v>
          </cell>
          <cell r="K47">
            <v>76500</v>
          </cell>
        </row>
        <row r="48">
          <cell r="A48" t="str">
            <v>22-276</v>
          </cell>
          <cell r="B48" t="str">
            <v>52vFFko9KpyWQEXEQ</v>
          </cell>
          <cell r="C48">
            <v>171177986</v>
          </cell>
          <cell r="D48" t="str">
            <v>សៀ ស៊ិន ១</v>
          </cell>
          <cell r="E48">
            <v>349800</v>
          </cell>
          <cell r="F48">
            <v>276</v>
          </cell>
          <cell r="G48">
            <v>171117041</v>
          </cell>
          <cell r="H48">
            <v>21800</v>
          </cell>
          <cell r="I48">
            <v>1000</v>
          </cell>
          <cell r="J48">
            <v>218</v>
          </cell>
          <cell r="K48">
            <v>327000</v>
          </cell>
        </row>
        <row r="49">
          <cell r="A49" t="str">
            <v>22-231</v>
          </cell>
          <cell r="B49" t="str">
            <v>QNcNAKsZ9gfpWcvAL</v>
          </cell>
          <cell r="C49">
            <v>171177941</v>
          </cell>
          <cell r="D49" t="str">
            <v>លឹម សេងហ៊ួរ</v>
          </cell>
          <cell r="E49">
            <v>361000</v>
          </cell>
          <cell r="F49">
            <v>231</v>
          </cell>
          <cell r="G49">
            <v>171116999</v>
          </cell>
          <cell r="H49">
            <v>22500</v>
          </cell>
          <cell r="I49">
            <v>1000</v>
          </cell>
          <cell r="J49">
            <v>225</v>
          </cell>
          <cell r="K49">
            <v>337500</v>
          </cell>
        </row>
        <row r="50">
          <cell r="A50" t="str">
            <v>22-120</v>
          </cell>
          <cell r="B50" t="str">
            <v>APMwuM7wj3oBBknai</v>
          </cell>
          <cell r="C50">
            <v>171177830</v>
          </cell>
          <cell r="D50" t="str">
            <v>អង្កការ អេ អ អឹម</v>
          </cell>
          <cell r="E50">
            <v>657000</v>
          </cell>
          <cell r="F50">
            <v>120</v>
          </cell>
          <cell r="G50">
            <v>171116205</v>
          </cell>
          <cell r="H50">
            <v>41000</v>
          </cell>
          <cell r="I50">
            <v>1000</v>
          </cell>
          <cell r="J50">
            <v>410</v>
          </cell>
          <cell r="K50">
            <v>615000</v>
          </cell>
        </row>
        <row r="51">
          <cell r="A51" t="str">
            <v>22-163</v>
          </cell>
          <cell r="B51" t="str">
            <v>BYNG5qcurKJd5Mycd</v>
          </cell>
          <cell r="C51">
            <v>171177873</v>
          </cell>
          <cell r="D51" t="str">
            <v>ចាន់ សម្ជស្ស</v>
          </cell>
          <cell r="E51">
            <v>85800</v>
          </cell>
          <cell r="F51">
            <v>163</v>
          </cell>
          <cell r="G51">
            <v>171116937</v>
          </cell>
          <cell r="H51">
            <v>5300</v>
          </cell>
          <cell r="I51">
            <v>1000</v>
          </cell>
          <cell r="J51">
            <v>53</v>
          </cell>
          <cell r="K51">
            <v>79500</v>
          </cell>
        </row>
        <row r="52">
          <cell r="A52" t="str">
            <v>22-081</v>
          </cell>
          <cell r="B52" t="str">
            <v>JkqQ2GYMgbixnBTmp</v>
          </cell>
          <cell r="C52">
            <v>171177791</v>
          </cell>
          <cell r="D52" t="str">
            <v>នូវ សាវុធ មៃមៃ ភោជនីយដ្ឋាន</v>
          </cell>
          <cell r="E52">
            <v>9000</v>
          </cell>
          <cell r="F52">
            <v>81</v>
          </cell>
          <cell r="G52">
            <v>171116169</v>
          </cell>
          <cell r="H52">
            <v>500</v>
          </cell>
          <cell r="I52">
            <v>1000</v>
          </cell>
          <cell r="J52">
            <v>5</v>
          </cell>
          <cell r="K52">
            <v>7500</v>
          </cell>
        </row>
        <row r="53">
          <cell r="A53" t="str">
            <v>22-018</v>
          </cell>
          <cell r="B53" t="str">
            <v>4kZwcw3Tn62sxByBQ</v>
          </cell>
          <cell r="C53">
            <v>171177728</v>
          </cell>
          <cell r="D53" t="str">
            <v>សុខ សុខុន ពន្ឋនាគារ</v>
          </cell>
          <cell r="E53">
            <v>20200</v>
          </cell>
          <cell r="F53">
            <v>18</v>
          </cell>
          <cell r="G53">
            <v>171116109</v>
          </cell>
          <cell r="H53">
            <v>1200</v>
          </cell>
          <cell r="I53">
            <v>1000</v>
          </cell>
          <cell r="J53">
            <v>12</v>
          </cell>
          <cell r="K53">
            <v>18000</v>
          </cell>
        </row>
        <row r="54">
          <cell r="A54" t="str">
            <v>22-115</v>
          </cell>
          <cell r="B54" t="str">
            <v>LqExTNKv8HYpHrCCc</v>
          </cell>
          <cell r="C54">
            <v>171177825</v>
          </cell>
          <cell r="D54" t="str">
            <v>វែង ស៊្រុន</v>
          </cell>
          <cell r="E54">
            <v>394600</v>
          </cell>
          <cell r="F54">
            <v>115</v>
          </cell>
          <cell r="G54">
            <v>171116201</v>
          </cell>
          <cell r="H54">
            <v>24600</v>
          </cell>
          <cell r="I54">
            <v>1000</v>
          </cell>
          <cell r="J54">
            <v>246</v>
          </cell>
          <cell r="K54">
            <v>369000</v>
          </cell>
        </row>
        <row r="55">
          <cell r="A55" t="str">
            <v>22-139</v>
          </cell>
          <cell r="B55" t="str">
            <v>GHsXLcBvv5gb9M8Qu</v>
          </cell>
          <cell r="C55">
            <v>171177849</v>
          </cell>
          <cell r="D55" t="str">
            <v>វែង ស៊្រុន ២</v>
          </cell>
          <cell r="E55">
            <v>69800</v>
          </cell>
          <cell r="F55">
            <v>139</v>
          </cell>
          <cell r="G55">
            <v>171116914</v>
          </cell>
          <cell r="H55">
            <v>4300</v>
          </cell>
          <cell r="I55">
            <v>1000</v>
          </cell>
          <cell r="J55">
            <v>43</v>
          </cell>
          <cell r="K55">
            <v>64500</v>
          </cell>
        </row>
        <row r="56">
          <cell r="A56" t="str">
            <v>22-184</v>
          </cell>
          <cell r="B56" t="str">
            <v>WNvnzFQ2zkqd5TCjX</v>
          </cell>
          <cell r="C56">
            <v>171177894</v>
          </cell>
          <cell r="D56" t="str">
            <v>ងិន ឃន ៥</v>
          </cell>
          <cell r="E56">
            <v>77800</v>
          </cell>
          <cell r="F56">
            <v>184</v>
          </cell>
          <cell r="G56">
            <v>171116956</v>
          </cell>
          <cell r="H56">
            <v>4800</v>
          </cell>
          <cell r="I56">
            <v>1000</v>
          </cell>
          <cell r="J56">
            <v>48</v>
          </cell>
          <cell r="K56">
            <v>72000</v>
          </cell>
        </row>
        <row r="57">
          <cell r="A57" t="str">
            <v>22-027</v>
          </cell>
          <cell r="B57" t="str">
            <v>SXD8TeJsf9QWtjWwF</v>
          </cell>
          <cell r="C57">
            <v>171177737</v>
          </cell>
          <cell r="D57" t="str">
            <v>អង្គការ ឃែ រំចេក៤</v>
          </cell>
          <cell r="E57">
            <v>141800</v>
          </cell>
          <cell r="F57">
            <v>27</v>
          </cell>
          <cell r="G57">
            <v>171116118</v>
          </cell>
          <cell r="H57">
            <v>8800</v>
          </cell>
          <cell r="I57">
            <v>1000</v>
          </cell>
          <cell r="J57">
            <v>88</v>
          </cell>
          <cell r="K57">
            <v>132000</v>
          </cell>
        </row>
        <row r="58">
          <cell r="A58" t="str">
            <v>22-185</v>
          </cell>
          <cell r="B58" t="str">
            <v>qbLvTpn2kc8Mb72Yy</v>
          </cell>
          <cell r="C58">
            <v>171177895</v>
          </cell>
          <cell r="D58" t="str">
            <v>ងិន ឃន ៦</v>
          </cell>
          <cell r="E58">
            <v>105000</v>
          </cell>
          <cell r="F58">
            <v>185</v>
          </cell>
          <cell r="G58">
            <v>171116957</v>
          </cell>
          <cell r="H58">
            <v>6500</v>
          </cell>
          <cell r="I58">
            <v>1000</v>
          </cell>
          <cell r="J58">
            <v>65</v>
          </cell>
          <cell r="K58">
            <v>97500</v>
          </cell>
        </row>
        <row r="59">
          <cell r="A59" t="str">
            <v>22-199</v>
          </cell>
          <cell r="B59" t="str">
            <v>kSgo99fPhGewPFDFf</v>
          </cell>
          <cell r="C59">
            <v>171177909</v>
          </cell>
          <cell r="D59" t="str">
            <v>ហេង តុលា</v>
          </cell>
          <cell r="E59">
            <v>215400</v>
          </cell>
          <cell r="F59">
            <v>199</v>
          </cell>
          <cell r="G59">
            <v>171116970</v>
          </cell>
          <cell r="H59">
            <v>13400</v>
          </cell>
          <cell r="I59">
            <v>1000</v>
          </cell>
          <cell r="J59">
            <v>134</v>
          </cell>
          <cell r="K59">
            <v>201000</v>
          </cell>
        </row>
        <row r="60">
          <cell r="A60" t="str">
            <v>22-175</v>
          </cell>
          <cell r="B60" t="str">
            <v>3CSsZYCxNKt7zXCww</v>
          </cell>
          <cell r="C60">
            <v>171177885</v>
          </cell>
          <cell r="D60" t="str">
            <v>សេរី ចរិយា ២</v>
          </cell>
          <cell r="E60">
            <v>359400</v>
          </cell>
          <cell r="F60">
            <v>175</v>
          </cell>
          <cell r="G60">
            <v>171116947</v>
          </cell>
          <cell r="H60">
            <v>22400</v>
          </cell>
          <cell r="I60">
            <v>1000</v>
          </cell>
          <cell r="J60">
            <v>224</v>
          </cell>
          <cell r="K60">
            <v>336000</v>
          </cell>
        </row>
        <row r="61">
          <cell r="A61" t="str">
            <v>22-119</v>
          </cell>
          <cell r="B61" t="str">
            <v>w4o5DK2NwPLpYdNbQ</v>
          </cell>
          <cell r="C61">
            <v>171177829</v>
          </cell>
          <cell r="D61" t="str">
            <v>ប៊ុន សេង ១</v>
          </cell>
          <cell r="E61">
            <v>220200</v>
          </cell>
          <cell r="F61">
            <v>119</v>
          </cell>
          <cell r="G61">
            <v>171116204</v>
          </cell>
          <cell r="H61">
            <v>13700</v>
          </cell>
          <cell r="I61">
            <v>1000</v>
          </cell>
          <cell r="J61">
            <v>137</v>
          </cell>
          <cell r="K61">
            <v>205500</v>
          </cell>
        </row>
        <row r="62">
          <cell r="A62" t="str">
            <v>22-180</v>
          </cell>
          <cell r="B62" t="str">
            <v>S2YXxBv4eufqnyKY7</v>
          </cell>
          <cell r="C62">
            <v>171177890</v>
          </cell>
          <cell r="D62" t="str">
            <v>ជា តេកស្រេង (ជិប ស្រេង )</v>
          </cell>
          <cell r="E62">
            <v>41000</v>
          </cell>
          <cell r="F62">
            <v>180</v>
          </cell>
          <cell r="G62">
            <v>171116952</v>
          </cell>
          <cell r="H62">
            <v>2500</v>
          </cell>
          <cell r="I62">
            <v>1000</v>
          </cell>
          <cell r="J62">
            <v>25</v>
          </cell>
          <cell r="K62">
            <v>37500</v>
          </cell>
        </row>
        <row r="63">
          <cell r="A63" t="str">
            <v>22-019</v>
          </cell>
          <cell r="B63" t="str">
            <v>cd2MdtKYMLNAsBktM</v>
          </cell>
          <cell r="C63">
            <v>171178316</v>
          </cell>
          <cell r="D63" t="str">
            <v>រោងចក្រអគ្គិសនី(ក្រោមសាតូដូ)</v>
          </cell>
          <cell r="E63">
            <v>903400</v>
          </cell>
          <cell r="F63">
            <v>19</v>
          </cell>
          <cell r="G63">
            <v>171116110</v>
          </cell>
          <cell r="H63">
            <v>56400</v>
          </cell>
          <cell r="I63">
            <v>1000</v>
          </cell>
          <cell r="J63">
            <v>564</v>
          </cell>
          <cell r="K63">
            <v>846000</v>
          </cell>
        </row>
        <row r="64">
          <cell r="A64" t="str">
            <v>22-020</v>
          </cell>
          <cell r="B64" t="str">
            <v>pPSBKGbqydAtuhW4y</v>
          </cell>
          <cell r="C64">
            <v>171177730</v>
          </cell>
          <cell r="D64" t="str">
            <v>រោងចក្រអគ្គិសនី ២</v>
          </cell>
          <cell r="E64">
            <v>221800</v>
          </cell>
          <cell r="F64">
            <v>20</v>
          </cell>
          <cell r="G64">
            <v>171116111</v>
          </cell>
          <cell r="H64">
            <v>13800</v>
          </cell>
          <cell r="I64">
            <v>1000</v>
          </cell>
          <cell r="J64">
            <v>138</v>
          </cell>
          <cell r="K64">
            <v>207000</v>
          </cell>
        </row>
        <row r="65">
          <cell r="A65" t="str">
            <v>22-016</v>
          </cell>
          <cell r="B65" t="str">
            <v>YJLCXRPGBMhgWxq7H</v>
          </cell>
          <cell r="C65">
            <v>171177726</v>
          </cell>
          <cell r="D65" t="str">
            <v>យ៉ម ចំរើន ១</v>
          </cell>
          <cell r="E65">
            <v>356200</v>
          </cell>
          <cell r="F65">
            <v>16</v>
          </cell>
          <cell r="G65">
            <v>171116107</v>
          </cell>
          <cell r="H65">
            <v>22200</v>
          </cell>
          <cell r="I65">
            <v>1000</v>
          </cell>
          <cell r="J65">
            <v>222</v>
          </cell>
          <cell r="K65">
            <v>333000</v>
          </cell>
        </row>
        <row r="66">
          <cell r="A66" t="str">
            <v>22-153</v>
          </cell>
          <cell r="B66" t="str">
            <v>2jfEqv33ywRpdfuLd</v>
          </cell>
          <cell r="C66">
            <v>171177863</v>
          </cell>
          <cell r="D66" t="str">
            <v>ធា លឹម</v>
          </cell>
          <cell r="E66">
            <v>97000</v>
          </cell>
          <cell r="F66">
            <v>153</v>
          </cell>
          <cell r="G66">
            <v>171116928</v>
          </cell>
          <cell r="H66">
            <v>6000</v>
          </cell>
          <cell r="I66">
            <v>1000</v>
          </cell>
          <cell r="J66">
            <v>60</v>
          </cell>
          <cell r="K66">
            <v>90000</v>
          </cell>
        </row>
        <row r="67">
          <cell r="A67" t="str">
            <v>22-107</v>
          </cell>
          <cell r="B67" t="str">
            <v>Q6J6cAAgabhAappXu</v>
          </cell>
          <cell r="C67">
            <v>171177817</v>
          </cell>
          <cell r="D67" t="str">
            <v>គឹម សារី</v>
          </cell>
          <cell r="E67">
            <v>68200</v>
          </cell>
          <cell r="F67">
            <v>107</v>
          </cell>
          <cell r="G67">
            <v>171116193</v>
          </cell>
          <cell r="H67">
            <v>4200</v>
          </cell>
          <cell r="I67">
            <v>1000</v>
          </cell>
          <cell r="J67">
            <v>42</v>
          </cell>
          <cell r="K67">
            <v>63000</v>
          </cell>
        </row>
        <row r="68">
          <cell r="A68" t="str">
            <v>22-043</v>
          </cell>
          <cell r="B68" t="str">
            <v>e4oSAdnAivYs4whZo</v>
          </cell>
          <cell r="C68">
            <v>171177753</v>
          </cell>
          <cell r="D68" t="str">
            <v>ឈុន លីម</v>
          </cell>
          <cell r="E68">
            <v>63400</v>
          </cell>
          <cell r="F68">
            <v>43</v>
          </cell>
          <cell r="G68">
            <v>171116134</v>
          </cell>
          <cell r="H68">
            <v>3900</v>
          </cell>
          <cell r="I68">
            <v>1000</v>
          </cell>
          <cell r="J68">
            <v>39</v>
          </cell>
          <cell r="K68">
            <v>58500</v>
          </cell>
        </row>
        <row r="69">
          <cell r="A69" t="str">
            <v>22-064</v>
          </cell>
          <cell r="B69" t="str">
            <v>XHt9aGmA6GMkRHsAW</v>
          </cell>
          <cell r="C69">
            <v>171177774</v>
          </cell>
          <cell r="D69" t="str">
            <v>ជុក គឹមហ៊ាប់</v>
          </cell>
          <cell r="E69">
            <v>42600</v>
          </cell>
          <cell r="F69">
            <v>64</v>
          </cell>
          <cell r="G69">
            <v>171116154</v>
          </cell>
          <cell r="H69">
            <v>2600</v>
          </cell>
          <cell r="I69">
            <v>1000</v>
          </cell>
          <cell r="J69">
            <v>26</v>
          </cell>
          <cell r="K69">
            <v>39000</v>
          </cell>
        </row>
        <row r="70">
          <cell r="A70" t="str">
            <v>22-067</v>
          </cell>
          <cell r="B70" t="str">
            <v>XdFAj35itfdCR9iiK</v>
          </cell>
          <cell r="C70">
            <v>171177777</v>
          </cell>
          <cell r="D70" t="str">
            <v>គុយ ទ្រី</v>
          </cell>
          <cell r="E70">
            <v>93800</v>
          </cell>
          <cell r="F70">
            <v>67</v>
          </cell>
          <cell r="G70">
            <v>171116156</v>
          </cell>
          <cell r="H70">
            <v>5800</v>
          </cell>
          <cell r="I70">
            <v>1000</v>
          </cell>
          <cell r="J70">
            <v>58</v>
          </cell>
          <cell r="K70">
            <v>87000</v>
          </cell>
        </row>
        <row r="71">
          <cell r="A71" t="str">
            <v>22-207</v>
          </cell>
          <cell r="B71" t="str">
            <v>NuwfCA65LCCx5xG9s</v>
          </cell>
          <cell r="C71">
            <v>171177917</v>
          </cell>
          <cell r="D71" t="str">
            <v>យិន គិតឡេង</v>
          </cell>
          <cell r="E71">
            <v>12200</v>
          </cell>
          <cell r="F71">
            <v>207</v>
          </cell>
          <cell r="G71">
            <v>171116977</v>
          </cell>
          <cell r="H71">
            <v>700</v>
          </cell>
          <cell r="I71">
            <v>1000</v>
          </cell>
          <cell r="J71">
            <v>7</v>
          </cell>
          <cell r="K71">
            <v>10500</v>
          </cell>
        </row>
        <row r="72">
          <cell r="A72" t="str">
            <v>22-045</v>
          </cell>
          <cell r="B72" t="str">
            <v>nuKGHqc2TWhCQDbR3</v>
          </cell>
          <cell r="C72">
            <v>171177755</v>
          </cell>
          <cell r="D72" t="str">
            <v>ភោជនីយដ្ឋាន សួនយុវ័ន</v>
          </cell>
          <cell r="E72">
            <v>389800</v>
          </cell>
          <cell r="F72">
            <v>45</v>
          </cell>
          <cell r="G72">
            <v>171116136</v>
          </cell>
          <cell r="H72">
            <v>24300</v>
          </cell>
          <cell r="I72">
            <v>1000</v>
          </cell>
          <cell r="J72">
            <v>243</v>
          </cell>
          <cell r="K72">
            <v>364500</v>
          </cell>
        </row>
        <row r="73">
          <cell r="A73" t="str">
            <v>22-198</v>
          </cell>
          <cell r="B73" t="str">
            <v>TRWdzdhtbsRmPYBKf</v>
          </cell>
          <cell r="C73">
            <v>171177908</v>
          </cell>
          <cell r="D73" t="str">
            <v>តូ មិត</v>
          </cell>
          <cell r="E73">
            <v>103400</v>
          </cell>
          <cell r="F73">
            <v>198</v>
          </cell>
          <cell r="G73">
            <v>171116969</v>
          </cell>
          <cell r="H73">
            <v>6400</v>
          </cell>
          <cell r="I73">
            <v>1000</v>
          </cell>
          <cell r="J73">
            <v>64</v>
          </cell>
          <cell r="K73">
            <v>96000</v>
          </cell>
        </row>
        <row r="74">
          <cell r="A74" t="str">
            <v>22-102</v>
          </cell>
          <cell r="B74" t="str">
            <v>a8d5JnByxyPpqNBdF</v>
          </cell>
          <cell r="C74">
            <v>171177812</v>
          </cell>
          <cell r="D74" t="str">
            <v>កែវ វ៉ាន់ទី</v>
          </cell>
          <cell r="E74">
            <v>197800</v>
          </cell>
          <cell r="F74">
            <v>102</v>
          </cell>
          <cell r="G74">
            <v>171116188</v>
          </cell>
          <cell r="H74">
            <v>12300</v>
          </cell>
          <cell r="I74">
            <v>1000</v>
          </cell>
          <cell r="J74">
            <v>123</v>
          </cell>
          <cell r="K74">
            <v>184500</v>
          </cell>
        </row>
        <row r="75">
          <cell r="A75" t="str">
            <v>22-125</v>
          </cell>
          <cell r="B75" t="str">
            <v>LY79rYSCx33FjNyFX</v>
          </cell>
          <cell r="C75">
            <v>171177835</v>
          </cell>
          <cell r="D75" t="str">
            <v>សេង សុម៉ាឡៃ (ខារាអូខេហេបភី )</v>
          </cell>
          <cell r="E75">
            <v>228200</v>
          </cell>
          <cell r="F75">
            <v>125</v>
          </cell>
          <cell r="G75">
            <v>171116210</v>
          </cell>
          <cell r="H75">
            <v>14200</v>
          </cell>
          <cell r="I75">
            <v>1000</v>
          </cell>
          <cell r="J75">
            <v>142</v>
          </cell>
          <cell r="K75">
            <v>213000</v>
          </cell>
        </row>
        <row r="76">
          <cell r="A76" t="str">
            <v>22-241</v>
          </cell>
          <cell r="B76" t="str">
            <v>acPwAkvTHkDBnZf3z</v>
          </cell>
          <cell r="C76">
            <v>171177951</v>
          </cell>
          <cell r="D76" t="str">
            <v>សិប្បកម្មលូ</v>
          </cell>
          <cell r="E76">
            <v>698600</v>
          </cell>
          <cell r="F76">
            <v>241</v>
          </cell>
          <cell r="G76">
            <v>171117007</v>
          </cell>
          <cell r="H76">
            <v>43600</v>
          </cell>
          <cell r="I76">
            <v>1000</v>
          </cell>
          <cell r="J76">
            <v>436</v>
          </cell>
          <cell r="K76">
            <v>654000</v>
          </cell>
        </row>
        <row r="77">
          <cell r="A77" t="str">
            <v>22-063</v>
          </cell>
          <cell r="B77" t="str">
            <v>QDpYwq2gqMaErRxyS</v>
          </cell>
          <cell r="C77">
            <v>171177773</v>
          </cell>
          <cell r="D77" t="str">
            <v>ប៊ុន ពៅ រតនៈ(សណ្ឋាគារ)</v>
          </cell>
          <cell r="E77">
            <v>36200</v>
          </cell>
          <cell r="F77">
            <v>63</v>
          </cell>
          <cell r="G77">
            <v>171116153</v>
          </cell>
          <cell r="H77">
            <v>2200</v>
          </cell>
          <cell r="I77">
            <v>1000</v>
          </cell>
          <cell r="J77">
            <v>22</v>
          </cell>
          <cell r="K77">
            <v>33000</v>
          </cell>
        </row>
        <row r="78">
          <cell r="A78" t="str">
            <v>22-104</v>
          </cell>
          <cell r="B78" t="str">
            <v>XGez3B9LE8W5dZs7M</v>
          </cell>
          <cell r="C78">
            <v>171177814</v>
          </cell>
          <cell r="D78" t="str">
            <v>ខៀវ ផុន</v>
          </cell>
          <cell r="E78">
            <v>111400</v>
          </cell>
          <cell r="F78">
            <v>104</v>
          </cell>
          <cell r="G78">
            <v>171116190</v>
          </cell>
          <cell r="H78">
            <v>6900</v>
          </cell>
          <cell r="I78">
            <v>1000</v>
          </cell>
          <cell r="J78">
            <v>69</v>
          </cell>
          <cell r="K78">
            <v>103500</v>
          </cell>
        </row>
        <row r="79">
          <cell r="A79" t="str">
            <v>22-031</v>
          </cell>
          <cell r="B79" t="str">
            <v>wmNfusdDxfEz9BnkF</v>
          </cell>
          <cell r="C79">
            <v>171177741</v>
          </cell>
          <cell r="D79" t="str">
            <v>ស្ថានអគ្គកុងស៊ុលវៀតណាម</v>
          </cell>
          <cell r="E79">
            <v>730600</v>
          </cell>
          <cell r="F79">
            <v>31</v>
          </cell>
          <cell r="G79">
            <v>171116122</v>
          </cell>
          <cell r="H79">
            <v>45600</v>
          </cell>
          <cell r="I79">
            <v>1000</v>
          </cell>
          <cell r="J79">
            <v>456</v>
          </cell>
          <cell r="K79">
            <v>684000</v>
          </cell>
        </row>
        <row r="80">
          <cell r="A80" t="str">
            <v>22-140</v>
          </cell>
          <cell r="B80" t="str">
            <v>c4gmcSB7mRtmdt2YH</v>
          </cell>
          <cell r="C80">
            <v>171177850</v>
          </cell>
          <cell r="D80" t="str">
            <v>រិន វិសាល ១</v>
          </cell>
          <cell r="E80">
            <v>231400</v>
          </cell>
          <cell r="F80">
            <v>140</v>
          </cell>
          <cell r="G80">
            <v>171116915</v>
          </cell>
          <cell r="H80">
            <v>14400</v>
          </cell>
          <cell r="I80">
            <v>1000</v>
          </cell>
          <cell r="J80">
            <v>144</v>
          </cell>
          <cell r="K80">
            <v>216000</v>
          </cell>
        </row>
        <row r="81">
          <cell r="A81" t="str">
            <v>22-143</v>
          </cell>
          <cell r="B81" t="str">
            <v>zkyo6WpfuX4a359Qd</v>
          </cell>
          <cell r="C81">
            <v>171177853</v>
          </cell>
          <cell r="D81" t="str">
            <v>សាលារៀន យូ.អ៊ឹម.អ៊ី</v>
          </cell>
          <cell r="E81">
            <v>1085800</v>
          </cell>
          <cell r="F81">
            <v>143</v>
          </cell>
          <cell r="G81">
            <v>171116918</v>
          </cell>
          <cell r="H81">
            <v>67800</v>
          </cell>
          <cell r="I81">
            <v>1000</v>
          </cell>
          <cell r="J81">
            <v>678</v>
          </cell>
          <cell r="K81">
            <v>1017000</v>
          </cell>
        </row>
        <row r="82">
          <cell r="A82" t="str">
            <v>22-263</v>
          </cell>
          <cell r="B82" t="str">
            <v>gzasejHzeCugBkzoq</v>
          </cell>
          <cell r="C82">
            <v>171177973</v>
          </cell>
          <cell r="D82" t="str">
            <v>សេង ប៊ូ</v>
          </cell>
          <cell r="E82">
            <v>300200</v>
          </cell>
          <cell r="F82">
            <v>263</v>
          </cell>
          <cell r="G82">
            <v>171117029</v>
          </cell>
          <cell r="H82">
            <v>18700</v>
          </cell>
          <cell r="I82">
            <v>1000</v>
          </cell>
          <cell r="J82">
            <v>187</v>
          </cell>
          <cell r="K82">
            <v>280500</v>
          </cell>
        </row>
        <row r="83">
          <cell r="A83" t="str">
            <v>22-146</v>
          </cell>
          <cell r="B83" t="str">
            <v>EFBPAypTRqn9vZgMt</v>
          </cell>
          <cell r="C83">
            <v>171177856</v>
          </cell>
          <cell r="D83" t="str">
            <v>កុមារឥតព្រំដែន</v>
          </cell>
          <cell r="E83">
            <v>426600</v>
          </cell>
          <cell r="F83">
            <v>146</v>
          </cell>
          <cell r="G83">
            <v>171116921</v>
          </cell>
          <cell r="H83">
            <v>26600</v>
          </cell>
          <cell r="I83">
            <v>1000</v>
          </cell>
          <cell r="J83">
            <v>266</v>
          </cell>
          <cell r="K83">
            <v>399000</v>
          </cell>
        </row>
        <row r="84">
          <cell r="A84" t="str">
            <v>22-269</v>
          </cell>
          <cell r="B84" t="str">
            <v>9ymzacs7JFaWuBTHu</v>
          </cell>
          <cell r="C84">
            <v>171177979</v>
          </cell>
          <cell r="D84" t="str">
            <v>ក្រុមហ៊ុន អិលឌីអែស</v>
          </cell>
          <cell r="E84">
            <v>313000</v>
          </cell>
          <cell r="F84">
            <v>269</v>
          </cell>
          <cell r="G84">
            <v>171117034</v>
          </cell>
          <cell r="H84">
            <v>19500</v>
          </cell>
          <cell r="I84">
            <v>1000</v>
          </cell>
          <cell r="J84">
            <v>195</v>
          </cell>
          <cell r="K84">
            <v>292500</v>
          </cell>
        </row>
        <row r="85">
          <cell r="A85" t="str">
            <v>22-023</v>
          </cell>
          <cell r="B85" t="str">
            <v>ag4HRjqzoqRnmrzfq</v>
          </cell>
          <cell r="C85">
            <v>171177733</v>
          </cell>
          <cell r="D85" t="str">
            <v>អាជីវកម្មទឹកបរិសុទ្ធបន្ទាយស្រី</v>
          </cell>
          <cell r="E85">
            <v>140200</v>
          </cell>
          <cell r="F85">
            <v>23</v>
          </cell>
          <cell r="G85">
            <v>171116114</v>
          </cell>
          <cell r="H85">
            <v>8700</v>
          </cell>
          <cell r="I85">
            <v>1000</v>
          </cell>
          <cell r="J85">
            <v>87</v>
          </cell>
          <cell r="K85">
            <v>130500</v>
          </cell>
        </row>
        <row r="86">
          <cell r="A86" t="str">
            <v>22-266</v>
          </cell>
          <cell r="B86" t="str">
            <v>zRsjkhTQwiWvLe4Sn</v>
          </cell>
          <cell r="C86">
            <v>171177976</v>
          </cell>
          <cell r="D86" t="str">
            <v>តាំង ម៉េងគង់</v>
          </cell>
          <cell r="E86">
            <v>12200</v>
          </cell>
          <cell r="F86">
            <v>266</v>
          </cell>
          <cell r="G86">
            <v>171117031</v>
          </cell>
          <cell r="H86">
            <v>700</v>
          </cell>
          <cell r="I86">
            <v>1000</v>
          </cell>
          <cell r="J86">
            <v>7</v>
          </cell>
          <cell r="K86">
            <v>10500</v>
          </cell>
        </row>
        <row r="87">
          <cell r="A87" t="str">
            <v>22-230</v>
          </cell>
          <cell r="B87" t="str">
            <v>XYL4iS4C4omG6n5EB</v>
          </cell>
          <cell r="C87">
            <v>171177940</v>
          </cell>
          <cell r="D87" t="str">
            <v>សុខ ឡាវ</v>
          </cell>
          <cell r="E87">
            <v>90600</v>
          </cell>
          <cell r="F87">
            <v>230</v>
          </cell>
          <cell r="G87">
            <v>171116998</v>
          </cell>
          <cell r="H87">
            <v>5600</v>
          </cell>
          <cell r="I87">
            <v>1000</v>
          </cell>
          <cell r="J87">
            <v>56</v>
          </cell>
          <cell r="K87">
            <v>84000</v>
          </cell>
        </row>
        <row r="88">
          <cell r="A88" t="str">
            <v>22-108</v>
          </cell>
          <cell r="B88" t="str">
            <v>izYGw3uhbEHzSgTMv</v>
          </cell>
          <cell r="C88">
            <v>171177818</v>
          </cell>
          <cell r="D88" t="str">
            <v>ចំណតរថយន្ត</v>
          </cell>
          <cell r="E88">
            <v>105000</v>
          </cell>
          <cell r="F88">
            <v>108</v>
          </cell>
          <cell r="G88">
            <v>171116194</v>
          </cell>
          <cell r="H88">
            <v>6500</v>
          </cell>
          <cell r="I88">
            <v>1000</v>
          </cell>
          <cell r="J88">
            <v>65</v>
          </cell>
          <cell r="K88">
            <v>97500</v>
          </cell>
        </row>
        <row r="89">
          <cell r="A89" t="str">
            <v>22-195</v>
          </cell>
          <cell r="B89" t="str">
            <v>hL4pbbhLZDkkMQJ7i</v>
          </cell>
          <cell r="C89">
            <v>171177905</v>
          </cell>
          <cell r="D89" t="str">
            <v>បេង ភី ១</v>
          </cell>
          <cell r="E89">
            <v>116200</v>
          </cell>
          <cell r="F89">
            <v>195</v>
          </cell>
          <cell r="G89">
            <v>171116966</v>
          </cell>
          <cell r="H89">
            <v>7200</v>
          </cell>
          <cell r="I89">
            <v>1000</v>
          </cell>
          <cell r="J89">
            <v>72</v>
          </cell>
          <cell r="K89">
            <v>108000</v>
          </cell>
        </row>
        <row r="90">
          <cell r="A90" t="str">
            <v>22-017</v>
          </cell>
          <cell r="B90" t="str">
            <v>MvfpuDZzNQ29iBt8G</v>
          </cell>
          <cell r="C90">
            <v>171177727</v>
          </cell>
          <cell r="D90" t="str">
            <v>វែង ស៊្រុន ៣</v>
          </cell>
          <cell r="E90">
            <v>361000</v>
          </cell>
          <cell r="F90">
            <v>17</v>
          </cell>
          <cell r="G90">
            <v>171116108</v>
          </cell>
          <cell r="H90">
            <v>22500</v>
          </cell>
          <cell r="I90">
            <v>1000</v>
          </cell>
          <cell r="J90">
            <v>225</v>
          </cell>
          <cell r="K90">
            <v>337500</v>
          </cell>
        </row>
        <row r="91">
          <cell r="A91" t="str">
            <v>22-112</v>
          </cell>
          <cell r="B91" t="str">
            <v>F66wqDM6WdMPB6xcJ</v>
          </cell>
          <cell r="C91">
            <v>171178317</v>
          </cell>
          <cell r="D91" t="str">
            <v>អ៊ុង  សាមី</v>
          </cell>
          <cell r="E91">
            <v>116200</v>
          </cell>
          <cell r="F91">
            <v>112</v>
          </cell>
          <cell r="G91">
            <v>171116198</v>
          </cell>
          <cell r="H91">
            <v>7200</v>
          </cell>
          <cell r="I91">
            <v>1000</v>
          </cell>
          <cell r="J91">
            <v>72</v>
          </cell>
          <cell r="K91">
            <v>108000</v>
          </cell>
        </row>
        <row r="92">
          <cell r="A92" t="str">
            <v>22-204</v>
          </cell>
          <cell r="B92" t="str">
            <v>EgYEnb536SrtdwjK9</v>
          </cell>
          <cell r="C92">
            <v>171177914</v>
          </cell>
          <cell r="D92" t="str">
            <v>ម៉ៅ អេង</v>
          </cell>
          <cell r="E92">
            <v>50600</v>
          </cell>
          <cell r="F92">
            <v>204</v>
          </cell>
          <cell r="G92">
            <v>171116974</v>
          </cell>
          <cell r="H92">
            <v>3100</v>
          </cell>
          <cell r="I92">
            <v>1000</v>
          </cell>
          <cell r="J92">
            <v>31</v>
          </cell>
          <cell r="K92">
            <v>46500</v>
          </cell>
        </row>
        <row r="93">
          <cell r="A93" t="str">
            <v>22-281</v>
          </cell>
          <cell r="B93" t="str">
            <v>MXJQjmxXmP62ovAuW</v>
          </cell>
          <cell r="C93">
            <v>171177991</v>
          </cell>
          <cell r="D93" t="str">
            <v>ឡុង ចន្ថា</v>
          </cell>
          <cell r="E93">
            <v>121000</v>
          </cell>
          <cell r="F93">
            <v>281</v>
          </cell>
          <cell r="G93">
            <v>171117046</v>
          </cell>
          <cell r="H93">
            <v>7500</v>
          </cell>
          <cell r="I93">
            <v>1000</v>
          </cell>
          <cell r="J93">
            <v>75</v>
          </cell>
          <cell r="K93">
            <v>112500</v>
          </cell>
        </row>
        <row r="94">
          <cell r="A94" t="str">
            <v>22-055</v>
          </cell>
          <cell r="B94" t="str">
            <v>DLtrFAdCWenwvjPpL</v>
          </cell>
          <cell r="C94">
            <v>171177765</v>
          </cell>
          <cell r="D94" t="str">
            <v>សោម សាឃឿង</v>
          </cell>
          <cell r="E94">
            <v>170600</v>
          </cell>
          <cell r="F94">
            <v>55</v>
          </cell>
          <cell r="G94">
            <v>171116145</v>
          </cell>
          <cell r="H94">
            <v>10600</v>
          </cell>
          <cell r="I94">
            <v>1000</v>
          </cell>
          <cell r="J94">
            <v>106</v>
          </cell>
          <cell r="K94">
            <v>159000</v>
          </cell>
        </row>
        <row r="95">
          <cell r="A95" t="str">
            <v>22-029</v>
          </cell>
          <cell r="B95" t="str">
            <v>oXax2DCfGtyciXfJE</v>
          </cell>
          <cell r="C95">
            <v>171177739</v>
          </cell>
          <cell r="D95" t="str">
            <v>តែ តៃលី ផ្សារលើ</v>
          </cell>
          <cell r="E95">
            <v>724200</v>
          </cell>
          <cell r="F95">
            <v>29</v>
          </cell>
          <cell r="G95">
            <v>171116120</v>
          </cell>
          <cell r="H95">
            <v>45200</v>
          </cell>
          <cell r="I95">
            <v>1000</v>
          </cell>
          <cell r="J95">
            <v>452</v>
          </cell>
          <cell r="K95">
            <v>678000</v>
          </cell>
        </row>
        <row r="96">
          <cell r="A96" t="str">
            <v>22-214</v>
          </cell>
          <cell r="B96" t="str">
            <v>Y9XdLJtiDyphtQyme</v>
          </cell>
          <cell r="C96">
            <v>171177924</v>
          </cell>
          <cell r="D96" t="str">
            <v>រាជ សុវណ្ណារិទ្ធ (ហូលីដេ ២ )</v>
          </cell>
          <cell r="E96">
            <v>161000</v>
          </cell>
          <cell r="F96">
            <v>214</v>
          </cell>
          <cell r="G96">
            <v>171116983</v>
          </cell>
          <cell r="H96">
            <v>10000</v>
          </cell>
          <cell r="I96">
            <v>1000</v>
          </cell>
          <cell r="J96">
            <v>100</v>
          </cell>
          <cell r="K96">
            <v>150000</v>
          </cell>
        </row>
        <row r="97">
          <cell r="A97" t="str">
            <v>22-015</v>
          </cell>
          <cell r="B97" t="str">
            <v>JXs3DBhoJ6xe9XapD</v>
          </cell>
          <cell r="C97">
            <v>171177725</v>
          </cell>
          <cell r="D97" t="str">
            <v>ប៊ុត គឹមស៊ាន</v>
          </cell>
          <cell r="E97">
            <v>169000</v>
          </cell>
          <cell r="F97">
            <v>15</v>
          </cell>
          <cell r="G97">
            <v>171116106</v>
          </cell>
          <cell r="H97">
            <v>10500</v>
          </cell>
          <cell r="I97">
            <v>1000</v>
          </cell>
          <cell r="J97">
            <v>105</v>
          </cell>
          <cell r="K97">
            <v>157500</v>
          </cell>
        </row>
        <row r="98">
          <cell r="A98" t="str">
            <v>22-134</v>
          </cell>
          <cell r="B98" t="str">
            <v>AfjTvsQMjpRABEnTn</v>
          </cell>
          <cell r="C98">
            <v>171177844</v>
          </cell>
          <cell r="D98" t="str">
            <v>អេង សុខនេត</v>
          </cell>
          <cell r="E98">
            <v>405800</v>
          </cell>
          <cell r="F98">
            <v>134</v>
          </cell>
          <cell r="G98">
            <v>171116219</v>
          </cell>
          <cell r="H98">
            <v>25300</v>
          </cell>
          <cell r="I98">
            <v>1000</v>
          </cell>
          <cell r="J98">
            <v>253</v>
          </cell>
          <cell r="K98">
            <v>379500</v>
          </cell>
        </row>
        <row r="99">
          <cell r="A99" t="str">
            <v>22-179</v>
          </cell>
          <cell r="B99" t="str">
            <v>nbhLJdswRsXrajFPx</v>
          </cell>
          <cell r="C99">
            <v>171177889</v>
          </cell>
          <cell r="D99" t="str">
            <v>ប៊ន សោ ភ័ណ</v>
          </cell>
          <cell r="E99">
            <v>98600</v>
          </cell>
          <cell r="F99">
            <v>179</v>
          </cell>
          <cell r="G99">
            <v>171116951</v>
          </cell>
          <cell r="H99">
            <v>6100</v>
          </cell>
          <cell r="I99">
            <v>1000</v>
          </cell>
          <cell r="J99">
            <v>61</v>
          </cell>
          <cell r="K99">
            <v>91500</v>
          </cell>
        </row>
        <row r="100">
          <cell r="A100" t="str">
            <v>22-298</v>
          </cell>
          <cell r="B100" t="str">
            <v>phGTXdgcag3w9pZnb</v>
          </cell>
          <cell r="C100">
            <v>171178008</v>
          </cell>
          <cell r="D100" t="str">
            <v>ឌិត ជិន</v>
          </cell>
          <cell r="E100">
            <v>156200</v>
          </cell>
          <cell r="F100">
            <v>298</v>
          </cell>
          <cell r="G100">
            <v>171117061</v>
          </cell>
          <cell r="H100">
            <v>9700</v>
          </cell>
          <cell r="I100">
            <v>1000</v>
          </cell>
          <cell r="J100">
            <v>97</v>
          </cell>
          <cell r="K100">
            <v>145500</v>
          </cell>
        </row>
        <row r="101">
          <cell r="A101" t="str">
            <v>22-106</v>
          </cell>
          <cell r="B101" t="str">
            <v>Z8M65yPDuQFFXiKxu</v>
          </cell>
          <cell r="C101">
            <v>171177816</v>
          </cell>
          <cell r="D101" t="str">
            <v>ថាច់ សង្វាត</v>
          </cell>
          <cell r="E101">
            <v>25000</v>
          </cell>
          <cell r="F101">
            <v>106</v>
          </cell>
          <cell r="G101">
            <v>171116192</v>
          </cell>
          <cell r="H101">
            <v>1500</v>
          </cell>
          <cell r="I101">
            <v>1000</v>
          </cell>
          <cell r="J101">
            <v>15</v>
          </cell>
          <cell r="K101">
            <v>22500</v>
          </cell>
        </row>
        <row r="102">
          <cell r="A102" t="str">
            <v>22-123</v>
          </cell>
          <cell r="B102" t="str">
            <v>hkb2twDfBnFe64R5G</v>
          </cell>
          <cell r="C102">
            <v>171177833</v>
          </cell>
          <cell r="D102" t="str">
            <v>ផ្ទះ.សំណាក់ភ្នំខៀវ</v>
          </cell>
          <cell r="E102">
            <v>628200</v>
          </cell>
          <cell r="F102">
            <v>123</v>
          </cell>
          <cell r="G102">
            <v>171116208</v>
          </cell>
          <cell r="H102">
            <v>39200</v>
          </cell>
          <cell r="I102">
            <v>1000</v>
          </cell>
          <cell r="J102">
            <v>392</v>
          </cell>
          <cell r="K102">
            <v>588000</v>
          </cell>
        </row>
        <row r="103">
          <cell r="A103" t="str">
            <v>22-249</v>
          </cell>
          <cell r="B103" t="str">
            <v>qdzGkpFdkDfdQiHNJ</v>
          </cell>
          <cell r="C103">
            <v>171177959</v>
          </cell>
          <cell r="D103" t="str">
            <v>សាលា អ៊ី.ស៊ី.ស៊ី</v>
          </cell>
          <cell r="E103">
            <v>157800</v>
          </cell>
          <cell r="F103">
            <v>249</v>
          </cell>
          <cell r="G103">
            <v>171117015</v>
          </cell>
          <cell r="H103">
            <v>9800</v>
          </cell>
          <cell r="I103">
            <v>1000</v>
          </cell>
          <cell r="J103">
            <v>98</v>
          </cell>
          <cell r="K103">
            <v>147000</v>
          </cell>
        </row>
        <row r="104">
          <cell r="A104" t="str">
            <v>22-299</v>
          </cell>
          <cell r="B104" t="str">
            <v>Knbi2DgFEyNeqyiKe</v>
          </cell>
          <cell r="C104">
            <v>171178322</v>
          </cell>
          <cell r="D104" t="str">
            <v>ជួប យ៉ុម</v>
          </cell>
          <cell r="E104">
            <v>789800</v>
          </cell>
          <cell r="F104">
            <v>299</v>
          </cell>
          <cell r="G104">
            <v>171117062</v>
          </cell>
          <cell r="H104">
            <v>49300</v>
          </cell>
          <cell r="I104">
            <v>1000</v>
          </cell>
          <cell r="J104">
            <v>493</v>
          </cell>
          <cell r="K104">
            <v>739500</v>
          </cell>
        </row>
        <row r="105">
          <cell r="A105" t="str">
            <v>22-289</v>
          </cell>
          <cell r="B105" t="str">
            <v>kwQzgjgg9RitF79W8</v>
          </cell>
          <cell r="C105">
            <v>171177999</v>
          </cell>
          <cell r="D105" t="str">
            <v>លឹម ហូ</v>
          </cell>
          <cell r="E105">
            <v>172200</v>
          </cell>
          <cell r="F105">
            <v>289</v>
          </cell>
          <cell r="G105">
            <v>171117053</v>
          </cell>
          <cell r="H105">
            <v>10700</v>
          </cell>
          <cell r="I105">
            <v>1000</v>
          </cell>
          <cell r="J105">
            <v>107</v>
          </cell>
          <cell r="K105">
            <v>160500</v>
          </cell>
        </row>
        <row r="106">
          <cell r="A106" t="str">
            <v>22-010</v>
          </cell>
          <cell r="B106" t="str">
            <v>S2Xk8yTXw4mRQEyuo</v>
          </cell>
          <cell r="C106">
            <v>171177720</v>
          </cell>
          <cell r="D106" t="str">
            <v>គ្លីនិកបាត់ដំបង</v>
          </cell>
          <cell r="E106">
            <v>249000</v>
          </cell>
          <cell r="F106">
            <v>10</v>
          </cell>
          <cell r="G106">
            <v>171116102</v>
          </cell>
          <cell r="H106">
            <v>15500</v>
          </cell>
          <cell r="I106">
            <v>1000</v>
          </cell>
          <cell r="J106">
            <v>155</v>
          </cell>
          <cell r="K106">
            <v>232500</v>
          </cell>
        </row>
        <row r="107">
          <cell r="A107" t="str">
            <v>22-052</v>
          </cell>
          <cell r="B107" t="str">
            <v>2gjJ6YboC7eHZK9vX</v>
          </cell>
          <cell r="C107">
            <v>171177762</v>
          </cell>
          <cell r="D107" t="str">
            <v>អាជីវកម្មសាណាត់២ (សេងហ៊ួ)</v>
          </cell>
          <cell r="E107">
            <v>333800</v>
          </cell>
          <cell r="F107">
            <v>52</v>
          </cell>
          <cell r="G107">
            <v>171116142</v>
          </cell>
          <cell r="H107">
            <v>20800</v>
          </cell>
          <cell r="I107">
            <v>1000</v>
          </cell>
          <cell r="J107">
            <v>208</v>
          </cell>
          <cell r="K107">
            <v>312000</v>
          </cell>
        </row>
        <row r="108">
          <cell r="A108" t="str">
            <v>22-057</v>
          </cell>
          <cell r="B108" t="str">
            <v>JGuzmm37nyizC6oLf</v>
          </cell>
          <cell r="C108">
            <v>171177767</v>
          </cell>
          <cell r="D108" t="str">
            <v>ស្ថានីយ៏ តូតាល់</v>
          </cell>
          <cell r="E108">
            <v>935400</v>
          </cell>
          <cell r="F108">
            <v>57</v>
          </cell>
          <cell r="G108">
            <v>171116147</v>
          </cell>
          <cell r="H108">
            <v>58400</v>
          </cell>
          <cell r="I108">
            <v>1000</v>
          </cell>
          <cell r="J108">
            <v>584</v>
          </cell>
          <cell r="K108">
            <v>876000</v>
          </cell>
        </row>
        <row r="109">
          <cell r="A109" t="str">
            <v>22-201</v>
          </cell>
          <cell r="B109" t="str">
            <v>P8gQXwh2zqzG5ez3g</v>
          </cell>
          <cell r="C109">
            <v>171177911</v>
          </cell>
          <cell r="D109" t="str">
            <v>តូតាល់អន្លងវិល</v>
          </cell>
          <cell r="E109">
            <v>332200</v>
          </cell>
          <cell r="F109">
            <v>201</v>
          </cell>
          <cell r="G109">
            <v>171116971</v>
          </cell>
          <cell r="H109">
            <v>20700</v>
          </cell>
          <cell r="I109">
            <v>1000</v>
          </cell>
          <cell r="J109">
            <v>207</v>
          </cell>
          <cell r="K109">
            <v>310500</v>
          </cell>
        </row>
        <row r="110">
          <cell r="A110" t="str">
            <v>22-267</v>
          </cell>
          <cell r="B110" t="str">
            <v>Tp6Xjkt7KRtQwiqwp</v>
          </cell>
          <cell r="C110">
            <v>171177977</v>
          </cell>
          <cell r="D110" t="str">
            <v>វត្តផ្សារថ្មី</v>
          </cell>
          <cell r="E110">
            <v>196200</v>
          </cell>
          <cell r="F110">
            <v>267</v>
          </cell>
          <cell r="G110">
            <v>171117032</v>
          </cell>
          <cell r="H110">
            <v>12200</v>
          </cell>
          <cell r="I110">
            <v>1000</v>
          </cell>
          <cell r="J110">
            <v>122</v>
          </cell>
          <cell r="K110">
            <v>183000</v>
          </cell>
        </row>
        <row r="111">
          <cell r="A111" t="str">
            <v>22-164</v>
          </cell>
          <cell r="B111" t="str">
            <v>mQdSsFkZzHAEkX6fC</v>
          </cell>
          <cell r="C111">
            <v>171177874</v>
          </cell>
          <cell r="D111" t="str">
            <v>តាំង ជុងខេង</v>
          </cell>
          <cell r="E111">
            <v>180200</v>
          </cell>
          <cell r="F111">
            <v>164</v>
          </cell>
          <cell r="G111">
            <v>171116938</v>
          </cell>
          <cell r="H111">
            <v>11200</v>
          </cell>
          <cell r="I111">
            <v>1000</v>
          </cell>
          <cell r="J111">
            <v>112</v>
          </cell>
          <cell r="K111">
            <v>168000</v>
          </cell>
        </row>
        <row r="112">
          <cell r="A112" t="str">
            <v>22-280</v>
          </cell>
          <cell r="B112" t="str">
            <v>WoTzL4qRi6zwKEWXv</v>
          </cell>
          <cell r="C112">
            <v>171177990</v>
          </cell>
          <cell r="D112" t="str">
            <v>សន សុភ័ក្រ</v>
          </cell>
          <cell r="E112">
            <v>135400</v>
          </cell>
          <cell r="F112">
            <v>280</v>
          </cell>
          <cell r="G112">
            <v>171117045</v>
          </cell>
          <cell r="H112">
            <v>8400</v>
          </cell>
          <cell r="I112">
            <v>1000</v>
          </cell>
          <cell r="J112">
            <v>84</v>
          </cell>
          <cell r="K112">
            <v>126000</v>
          </cell>
        </row>
        <row r="113">
          <cell r="A113" t="str">
            <v>22-094</v>
          </cell>
          <cell r="B113" t="str">
            <v>e69qHYFjxQLCjfw24</v>
          </cell>
          <cell r="C113">
            <v>171177804</v>
          </cell>
          <cell r="D113" t="str">
            <v>វិញ សាន់</v>
          </cell>
          <cell r="E113">
            <v>687400</v>
          </cell>
          <cell r="F113">
            <v>94</v>
          </cell>
          <cell r="G113">
            <v>171116181</v>
          </cell>
          <cell r="H113">
            <v>42900</v>
          </cell>
          <cell r="I113">
            <v>1000</v>
          </cell>
          <cell r="J113">
            <v>429</v>
          </cell>
          <cell r="K113">
            <v>643500</v>
          </cell>
        </row>
        <row r="114">
          <cell r="A114" t="str">
            <v>22-083</v>
          </cell>
          <cell r="B114" t="str">
            <v>uYXkmD7TWTxzdLoZN</v>
          </cell>
          <cell r="C114">
            <v>171177793</v>
          </cell>
          <cell r="D114" t="str">
            <v>ញ៉ែម វណ្ណា លាង ឡាន</v>
          </cell>
          <cell r="E114">
            <v>172200</v>
          </cell>
          <cell r="F114">
            <v>83</v>
          </cell>
          <cell r="G114">
            <v>171116171</v>
          </cell>
          <cell r="H114">
            <v>10700</v>
          </cell>
          <cell r="I114">
            <v>1000</v>
          </cell>
          <cell r="J114">
            <v>107</v>
          </cell>
          <cell r="K114">
            <v>160500</v>
          </cell>
        </row>
        <row r="115">
          <cell r="A115" t="str">
            <v>22-096</v>
          </cell>
          <cell r="B115" t="str">
            <v>MrCEA4zkq7c7rF49Z</v>
          </cell>
          <cell r="C115">
            <v>171177806</v>
          </cell>
          <cell r="D115" t="str">
            <v>ណា ណៃ</v>
          </cell>
          <cell r="E115">
            <v>135400</v>
          </cell>
          <cell r="F115">
            <v>96</v>
          </cell>
          <cell r="G115">
            <v>171116183</v>
          </cell>
          <cell r="H115">
            <v>8400</v>
          </cell>
          <cell r="I115">
            <v>1000</v>
          </cell>
          <cell r="J115">
            <v>84</v>
          </cell>
          <cell r="K115">
            <v>126000</v>
          </cell>
        </row>
        <row r="116">
          <cell r="A116" t="str">
            <v>22-089</v>
          </cell>
          <cell r="B116" t="str">
            <v>2Kf3XYceuNjQuDP8G</v>
          </cell>
          <cell r="C116">
            <v>171177799</v>
          </cell>
          <cell r="D116" t="str">
            <v>ព្រៈវិហារកាតូលិក ១</v>
          </cell>
          <cell r="E116">
            <v>1487400</v>
          </cell>
          <cell r="F116">
            <v>89</v>
          </cell>
          <cell r="G116">
            <v>171116176</v>
          </cell>
          <cell r="H116">
            <v>92900</v>
          </cell>
          <cell r="I116">
            <v>1000</v>
          </cell>
          <cell r="J116">
            <v>929</v>
          </cell>
          <cell r="K116">
            <v>1393500</v>
          </cell>
        </row>
        <row r="117">
          <cell r="A117" t="str">
            <v>22-297</v>
          </cell>
          <cell r="B117" t="str">
            <v>MPvjMHeSRXbcQHqEw</v>
          </cell>
          <cell r="C117">
            <v>171178007</v>
          </cell>
          <cell r="D117" t="str">
            <v>វត្តកណ្តាល</v>
          </cell>
          <cell r="E117">
            <v>349800</v>
          </cell>
          <cell r="F117">
            <v>297</v>
          </cell>
          <cell r="G117">
            <v>171117060</v>
          </cell>
          <cell r="H117">
            <v>21800</v>
          </cell>
          <cell r="I117">
            <v>1000</v>
          </cell>
          <cell r="J117">
            <v>218</v>
          </cell>
          <cell r="K117">
            <v>327000</v>
          </cell>
        </row>
        <row r="118">
          <cell r="A118" t="str">
            <v>22-127</v>
          </cell>
          <cell r="B118" t="str">
            <v>PP7Dh6u7NgqfoPCkZ</v>
          </cell>
          <cell r="C118">
            <v>171177837</v>
          </cell>
          <cell r="D118" t="str">
            <v>លឹម ភិចហួរ</v>
          </cell>
          <cell r="E118">
            <v>585000</v>
          </cell>
          <cell r="F118">
            <v>127</v>
          </cell>
          <cell r="G118">
            <v>171116212</v>
          </cell>
          <cell r="H118">
            <v>36500</v>
          </cell>
          <cell r="I118">
            <v>1000</v>
          </cell>
          <cell r="J118">
            <v>365</v>
          </cell>
          <cell r="K118">
            <v>547500</v>
          </cell>
        </row>
        <row r="119">
          <cell r="A119" t="str">
            <v>22-032</v>
          </cell>
          <cell r="B119" t="str">
            <v>N2bBweD5ijtyHqZTv</v>
          </cell>
          <cell r="C119">
            <v>171177742</v>
          </cell>
          <cell r="D119" t="str">
            <v>ហម ចិត្រ</v>
          </cell>
          <cell r="E119">
            <v>196200</v>
          </cell>
          <cell r="F119">
            <v>32</v>
          </cell>
          <cell r="G119">
            <v>171116123</v>
          </cell>
          <cell r="H119">
            <v>12200</v>
          </cell>
          <cell r="I119">
            <v>1000</v>
          </cell>
          <cell r="J119">
            <v>122</v>
          </cell>
          <cell r="K119">
            <v>183000</v>
          </cell>
        </row>
        <row r="120">
          <cell r="A120" t="str">
            <v>22-242</v>
          </cell>
          <cell r="B120" t="str">
            <v>6jZjoyyq5g6AbssyP</v>
          </cell>
          <cell r="C120">
            <v>171177952</v>
          </cell>
          <cell r="D120" t="str">
            <v>បួន សៀ</v>
          </cell>
          <cell r="E120">
            <v>53800</v>
          </cell>
          <cell r="F120">
            <v>242</v>
          </cell>
          <cell r="G120">
            <v>171117008</v>
          </cell>
          <cell r="H120">
            <v>3300</v>
          </cell>
          <cell r="I120">
            <v>1000</v>
          </cell>
          <cell r="J120">
            <v>33</v>
          </cell>
          <cell r="K120">
            <v>49500</v>
          </cell>
        </row>
        <row r="121">
          <cell r="A121" t="str">
            <v>22-292</v>
          </cell>
          <cell r="B121" t="str">
            <v>pFSuuHPDdvNxEzrPY</v>
          </cell>
          <cell r="C121">
            <v>171178002</v>
          </cell>
          <cell r="D121" t="str">
            <v>សឹង លី</v>
          </cell>
          <cell r="E121">
            <v>74600</v>
          </cell>
          <cell r="F121">
            <v>292</v>
          </cell>
          <cell r="G121">
            <v>171117055</v>
          </cell>
          <cell r="H121">
            <v>4600</v>
          </cell>
          <cell r="I121">
            <v>1000</v>
          </cell>
          <cell r="J121">
            <v>46</v>
          </cell>
          <cell r="K121">
            <v>69000</v>
          </cell>
        </row>
        <row r="122">
          <cell r="A122" t="str">
            <v>22-109</v>
          </cell>
          <cell r="B122" t="str">
            <v>jg2aAp4zYbjGdEt9x</v>
          </cell>
          <cell r="C122">
            <v>171177819</v>
          </cell>
          <cell r="D122" t="str">
            <v>ប៊ុន សេង (គ្លីនិកសុខភាព)</v>
          </cell>
          <cell r="E122">
            <v>159400</v>
          </cell>
          <cell r="F122">
            <v>109</v>
          </cell>
          <cell r="G122">
            <v>171116195</v>
          </cell>
          <cell r="H122">
            <v>9900</v>
          </cell>
          <cell r="I122">
            <v>1000</v>
          </cell>
          <cell r="J122">
            <v>99</v>
          </cell>
          <cell r="K122">
            <v>148500</v>
          </cell>
        </row>
        <row r="123">
          <cell r="A123" t="str">
            <v>22-236</v>
          </cell>
          <cell r="B123" t="str">
            <v>X5ejFR4qENb6q29kJ</v>
          </cell>
          <cell r="C123">
            <v>171177946</v>
          </cell>
          <cell r="D123" t="str">
            <v>បេ សារឿន</v>
          </cell>
          <cell r="E123">
            <v>170600</v>
          </cell>
          <cell r="F123">
            <v>236</v>
          </cell>
          <cell r="G123">
            <v>171117003</v>
          </cell>
          <cell r="H123">
            <v>10600</v>
          </cell>
          <cell r="I123">
            <v>1000</v>
          </cell>
          <cell r="J123">
            <v>106</v>
          </cell>
          <cell r="K123">
            <v>159000</v>
          </cell>
        </row>
        <row r="124">
          <cell r="A124" t="str">
            <v>22-068</v>
          </cell>
          <cell r="B124" t="str">
            <v>usNLagLENJnftNrua</v>
          </cell>
          <cell r="C124">
            <v>171177778</v>
          </cell>
          <cell r="D124" t="str">
            <v>សោ ថាលី កូលាបស</v>
          </cell>
          <cell r="E124">
            <v>757800</v>
          </cell>
          <cell r="F124">
            <v>68</v>
          </cell>
          <cell r="G124">
            <v>171116157</v>
          </cell>
          <cell r="H124">
            <v>47300</v>
          </cell>
          <cell r="I124">
            <v>1000</v>
          </cell>
          <cell r="J124">
            <v>473</v>
          </cell>
          <cell r="K124">
            <v>709500</v>
          </cell>
        </row>
        <row r="125">
          <cell r="A125" t="str">
            <v>22-126</v>
          </cell>
          <cell r="B125" t="str">
            <v>FyznucJuLin9KwGcc</v>
          </cell>
          <cell r="C125">
            <v>171177836</v>
          </cell>
          <cell r="D125" t="str">
            <v>ណង ណារ័ត្ន</v>
          </cell>
          <cell r="E125">
            <v>65000</v>
          </cell>
          <cell r="F125">
            <v>126</v>
          </cell>
          <cell r="G125">
            <v>171116211</v>
          </cell>
          <cell r="H125">
            <v>4000</v>
          </cell>
          <cell r="I125">
            <v>1000</v>
          </cell>
          <cell r="J125">
            <v>40</v>
          </cell>
          <cell r="K125">
            <v>60000</v>
          </cell>
        </row>
        <row r="126">
          <cell r="A126" t="str">
            <v>22-085</v>
          </cell>
          <cell r="B126" t="str">
            <v>b6bm8sfaYbePKYDCt</v>
          </cell>
          <cell r="C126">
            <v>171177795</v>
          </cell>
          <cell r="D126" t="str">
            <v>សណ្ឋាគារ បាណន់</v>
          </cell>
          <cell r="E126">
            <v>1205800</v>
          </cell>
          <cell r="F126">
            <v>85</v>
          </cell>
          <cell r="G126">
            <v>171116173</v>
          </cell>
          <cell r="H126">
            <v>75300</v>
          </cell>
          <cell r="I126">
            <v>1000</v>
          </cell>
          <cell r="J126">
            <v>753</v>
          </cell>
          <cell r="K126">
            <v>1129500</v>
          </cell>
        </row>
        <row r="127">
          <cell r="A127" t="str">
            <v>22-136</v>
          </cell>
          <cell r="B127" t="str">
            <v>seEbjZwGKwWwY5B75</v>
          </cell>
          <cell r="C127">
            <v>171177846</v>
          </cell>
          <cell r="D127" t="str">
            <v>លឹម ឈួងសៀ</v>
          </cell>
          <cell r="E127">
            <v>861800</v>
          </cell>
          <cell r="F127">
            <v>136</v>
          </cell>
          <cell r="G127">
            <v>171116911</v>
          </cell>
          <cell r="H127">
            <v>53800</v>
          </cell>
          <cell r="I127">
            <v>1000</v>
          </cell>
          <cell r="J127">
            <v>538</v>
          </cell>
          <cell r="K127">
            <v>807000</v>
          </cell>
        </row>
        <row r="128">
          <cell r="A128" t="str">
            <v>22-021</v>
          </cell>
          <cell r="B128" t="str">
            <v>2ehKrs62oNub7ia4w</v>
          </cell>
          <cell r="C128">
            <v>171177731</v>
          </cell>
          <cell r="D128" t="str">
            <v>មណ្ឌលកុមារកំព្រា SOS</v>
          </cell>
          <cell r="E128">
            <v>1833000</v>
          </cell>
          <cell r="F128">
            <v>21</v>
          </cell>
          <cell r="G128">
            <v>171116112</v>
          </cell>
          <cell r="H128">
            <v>114500</v>
          </cell>
          <cell r="I128">
            <v>1000</v>
          </cell>
          <cell r="J128">
            <v>1145</v>
          </cell>
          <cell r="K128">
            <v>1717500</v>
          </cell>
        </row>
        <row r="129">
          <cell r="A129" t="str">
            <v>22-116</v>
          </cell>
          <cell r="B129" t="str">
            <v>8aB2FSqxHQbRSZnzG</v>
          </cell>
          <cell r="C129">
            <v>171177826</v>
          </cell>
          <cell r="D129" t="str">
            <v>អេង ពេញ</v>
          </cell>
          <cell r="E129">
            <v>44200</v>
          </cell>
          <cell r="F129">
            <v>116</v>
          </cell>
          <cell r="G129">
            <v>171116202</v>
          </cell>
          <cell r="H129">
            <v>2700</v>
          </cell>
          <cell r="I129">
            <v>1000</v>
          </cell>
          <cell r="J129">
            <v>27</v>
          </cell>
          <cell r="K129">
            <v>40500</v>
          </cell>
        </row>
        <row r="130">
          <cell r="A130" t="str">
            <v>22-095</v>
          </cell>
          <cell r="B130" t="str">
            <v>GW9HbjJDM7rKNm5Tf</v>
          </cell>
          <cell r="C130">
            <v>171177805</v>
          </cell>
          <cell r="D130" t="str">
            <v>នរោត្តម ចក្រាវុធ</v>
          </cell>
          <cell r="E130">
            <v>361000</v>
          </cell>
          <cell r="F130">
            <v>95</v>
          </cell>
          <cell r="G130">
            <v>171116182</v>
          </cell>
          <cell r="H130">
            <v>22500</v>
          </cell>
          <cell r="I130">
            <v>1000</v>
          </cell>
          <cell r="J130">
            <v>225</v>
          </cell>
          <cell r="K130">
            <v>337500</v>
          </cell>
        </row>
        <row r="131">
          <cell r="A131" t="str">
            <v>22-203</v>
          </cell>
          <cell r="B131" t="str">
            <v>kaBPZJAAeeCMJx5Gu</v>
          </cell>
          <cell r="C131">
            <v>171177913</v>
          </cell>
          <cell r="D131" t="str">
            <v>ជាម ចាន់សោភ័ណ</v>
          </cell>
          <cell r="E131">
            <v>105000</v>
          </cell>
          <cell r="F131">
            <v>203</v>
          </cell>
          <cell r="G131">
            <v>171116973</v>
          </cell>
          <cell r="H131">
            <v>6500</v>
          </cell>
          <cell r="I131">
            <v>1000</v>
          </cell>
          <cell r="J131">
            <v>65</v>
          </cell>
          <cell r="K131">
            <v>97500</v>
          </cell>
        </row>
        <row r="132">
          <cell r="A132" t="str">
            <v>22-092</v>
          </cell>
          <cell r="B132" t="str">
            <v>5H3apwsr4EnXW3DjF</v>
          </cell>
          <cell r="C132">
            <v>171177802</v>
          </cell>
          <cell r="D132" t="str">
            <v>ស៊ីន ឃន (សាច់គោអាំង )</v>
          </cell>
          <cell r="E132">
            <v>589800</v>
          </cell>
          <cell r="F132">
            <v>92</v>
          </cell>
          <cell r="G132">
            <v>171116179</v>
          </cell>
          <cell r="H132">
            <v>36800</v>
          </cell>
          <cell r="I132">
            <v>1000</v>
          </cell>
          <cell r="J132">
            <v>368</v>
          </cell>
          <cell r="K132">
            <v>552000</v>
          </cell>
        </row>
        <row r="133">
          <cell r="A133" t="str">
            <v>22-144</v>
          </cell>
          <cell r="B133" t="str">
            <v>ykEdTFsK2ZcniSfYe</v>
          </cell>
          <cell r="C133">
            <v>171177854</v>
          </cell>
          <cell r="D133" t="str">
            <v>គឹម សុខ</v>
          </cell>
          <cell r="E133">
            <v>157800</v>
          </cell>
          <cell r="F133">
            <v>144</v>
          </cell>
          <cell r="G133">
            <v>171116919</v>
          </cell>
          <cell r="H133">
            <v>9800</v>
          </cell>
          <cell r="I133">
            <v>1000</v>
          </cell>
          <cell r="J133">
            <v>98</v>
          </cell>
          <cell r="K133">
            <v>147000</v>
          </cell>
        </row>
        <row r="134">
          <cell r="A134" t="str">
            <v>22-113</v>
          </cell>
          <cell r="B134" t="str">
            <v>biDewG26CChdMm2WT</v>
          </cell>
          <cell r="C134">
            <v>171177823</v>
          </cell>
          <cell r="D134" t="str">
            <v>ព្រៈវិហារកាតូលិក ២</v>
          </cell>
          <cell r="E134">
            <v>231400</v>
          </cell>
          <cell r="F134">
            <v>113</v>
          </cell>
          <cell r="G134">
            <v>171116199</v>
          </cell>
          <cell r="H134">
            <v>14400</v>
          </cell>
          <cell r="I134">
            <v>1000</v>
          </cell>
          <cell r="J134">
            <v>144</v>
          </cell>
          <cell r="K134">
            <v>216000</v>
          </cell>
        </row>
        <row r="135">
          <cell r="A135" t="str">
            <v>22-191</v>
          </cell>
          <cell r="B135" t="str">
            <v>9Rk5atp8XDLenyyuf</v>
          </cell>
          <cell r="C135">
            <v>171177901</v>
          </cell>
          <cell r="D135" t="str">
            <v>ភោជនីយដ្ឋាន វិមានរៀម</v>
          </cell>
          <cell r="E135">
            <v>402600</v>
          </cell>
          <cell r="F135">
            <v>191</v>
          </cell>
          <cell r="G135">
            <v>171116963</v>
          </cell>
          <cell r="H135">
            <v>25100</v>
          </cell>
          <cell r="I135">
            <v>1000</v>
          </cell>
          <cell r="J135">
            <v>251</v>
          </cell>
          <cell r="K135">
            <v>376500</v>
          </cell>
        </row>
        <row r="136">
          <cell r="A136" t="str">
            <v>22-197</v>
          </cell>
          <cell r="B136" t="str">
            <v>HeSacyRzZE8Wny3EE</v>
          </cell>
          <cell r="C136">
            <v>171177907</v>
          </cell>
          <cell r="D136" t="str">
            <v>ប៊ុន សេង ២</v>
          </cell>
          <cell r="E136">
            <v>306600</v>
          </cell>
          <cell r="F136">
            <v>197</v>
          </cell>
          <cell r="G136">
            <v>171116968</v>
          </cell>
          <cell r="H136">
            <v>19100</v>
          </cell>
          <cell r="I136">
            <v>1000</v>
          </cell>
          <cell r="J136">
            <v>191</v>
          </cell>
          <cell r="K136">
            <v>286500</v>
          </cell>
        </row>
        <row r="137">
          <cell r="A137" t="str">
            <v>22-293</v>
          </cell>
          <cell r="B137" t="str">
            <v>o4r7fAxLnXGQ7Fafj</v>
          </cell>
          <cell r="C137">
            <v>171178321</v>
          </cell>
          <cell r="D137" t="str">
            <v>ឯម សុវណ្ណារ៉ា</v>
          </cell>
          <cell r="E137">
            <v>93800</v>
          </cell>
          <cell r="F137">
            <v>293</v>
          </cell>
          <cell r="G137">
            <v>171117056</v>
          </cell>
          <cell r="H137">
            <v>5800</v>
          </cell>
          <cell r="I137">
            <v>1000</v>
          </cell>
          <cell r="J137">
            <v>58</v>
          </cell>
          <cell r="K137">
            <v>87000</v>
          </cell>
        </row>
        <row r="138">
          <cell r="A138" t="str">
            <v>22-183</v>
          </cell>
          <cell r="B138" t="str">
            <v>CPFh3HNzEn6if6NtK</v>
          </cell>
          <cell r="C138">
            <v>171177893</v>
          </cell>
          <cell r="D138" t="str">
            <v>ងិន ឃន ៤</v>
          </cell>
          <cell r="E138">
            <v>460200</v>
          </cell>
          <cell r="F138">
            <v>183</v>
          </cell>
          <cell r="G138">
            <v>171116955</v>
          </cell>
          <cell r="H138">
            <v>28700</v>
          </cell>
          <cell r="I138">
            <v>1000</v>
          </cell>
          <cell r="J138">
            <v>287</v>
          </cell>
          <cell r="K138">
            <v>430500</v>
          </cell>
        </row>
        <row r="139">
          <cell r="A139" t="str">
            <v>22-213</v>
          </cell>
          <cell r="B139" t="str">
            <v>KYjKEnNFrNNgbdmdK</v>
          </cell>
          <cell r="C139">
            <v>171177923</v>
          </cell>
          <cell r="D139" t="str">
            <v>ហួយ ចន្ធី</v>
          </cell>
          <cell r="E139">
            <v>324200</v>
          </cell>
          <cell r="F139">
            <v>213</v>
          </cell>
          <cell r="G139">
            <v>171116982</v>
          </cell>
          <cell r="H139">
            <v>20200</v>
          </cell>
          <cell r="I139">
            <v>1000</v>
          </cell>
          <cell r="J139">
            <v>202</v>
          </cell>
          <cell r="K139">
            <v>303000</v>
          </cell>
        </row>
        <row r="140">
          <cell r="A140" t="str">
            <v>22-034</v>
          </cell>
          <cell r="B140" t="str">
            <v>Ys4rhysv4nKZayBcA</v>
          </cell>
          <cell r="C140">
            <v>171177744</v>
          </cell>
          <cell r="D140" t="str">
            <v>សេង វ៉ាឡាត់</v>
          </cell>
          <cell r="E140">
            <v>258600</v>
          </cell>
          <cell r="F140">
            <v>34</v>
          </cell>
          <cell r="G140">
            <v>171116125</v>
          </cell>
          <cell r="H140">
            <v>16100</v>
          </cell>
          <cell r="I140">
            <v>1000</v>
          </cell>
          <cell r="J140">
            <v>161</v>
          </cell>
          <cell r="K140">
            <v>241500</v>
          </cell>
        </row>
        <row r="141">
          <cell r="A141" t="str">
            <v>22-255</v>
          </cell>
          <cell r="B141" t="str">
            <v>iCoJekMntsZq7AFzt</v>
          </cell>
          <cell r="C141">
            <v>171177965</v>
          </cell>
          <cell r="D141" t="str">
            <v>តាំង ឡាយ</v>
          </cell>
          <cell r="E141">
            <v>236200</v>
          </cell>
          <cell r="F141">
            <v>255</v>
          </cell>
          <cell r="G141">
            <v>171117021</v>
          </cell>
          <cell r="H141">
            <v>14700</v>
          </cell>
          <cell r="I141">
            <v>1000</v>
          </cell>
          <cell r="J141">
            <v>147</v>
          </cell>
          <cell r="K141">
            <v>220500</v>
          </cell>
        </row>
        <row r="142">
          <cell r="A142" t="str">
            <v>22-178</v>
          </cell>
          <cell r="B142" t="str">
            <v>YxkTrp7MbRX4Nuf9i</v>
          </cell>
          <cell r="C142">
            <v>171177888</v>
          </cell>
          <cell r="D142" t="str">
            <v>មាស សុភាព</v>
          </cell>
          <cell r="E142">
            <v>36200</v>
          </cell>
          <cell r="F142">
            <v>178</v>
          </cell>
          <cell r="G142">
            <v>171116950</v>
          </cell>
          <cell r="H142">
            <v>2200</v>
          </cell>
          <cell r="I142">
            <v>1000</v>
          </cell>
          <cell r="J142">
            <v>22</v>
          </cell>
          <cell r="K142">
            <v>33000</v>
          </cell>
        </row>
        <row r="143">
          <cell r="A143" t="str">
            <v>22-272</v>
          </cell>
          <cell r="B143" t="str">
            <v>SBuCTs5F482NoFTrt</v>
          </cell>
          <cell r="C143">
            <v>171177982</v>
          </cell>
          <cell r="D143" t="str">
            <v>ឡាំ ឆៃលីន</v>
          </cell>
          <cell r="E143">
            <v>674600</v>
          </cell>
          <cell r="F143">
            <v>272</v>
          </cell>
          <cell r="G143">
            <v>171117037</v>
          </cell>
          <cell r="H143">
            <v>42100</v>
          </cell>
          <cell r="I143">
            <v>1000</v>
          </cell>
          <cell r="J143">
            <v>421</v>
          </cell>
          <cell r="K143">
            <v>631500</v>
          </cell>
        </row>
        <row r="144">
          <cell r="A144" t="str">
            <v>22-261</v>
          </cell>
          <cell r="B144" t="str">
            <v>TetFKS3Tm76wY8ivj</v>
          </cell>
          <cell r="C144">
            <v>171177971</v>
          </cell>
          <cell r="D144" t="str">
            <v>ប្រាក់ ព្រី</v>
          </cell>
          <cell r="E144">
            <v>69800</v>
          </cell>
          <cell r="F144">
            <v>261</v>
          </cell>
          <cell r="G144">
            <v>171117027</v>
          </cell>
          <cell r="H144">
            <v>4300</v>
          </cell>
          <cell r="I144">
            <v>1000</v>
          </cell>
          <cell r="J144">
            <v>43</v>
          </cell>
          <cell r="K144">
            <v>64500</v>
          </cell>
        </row>
        <row r="145">
          <cell r="A145" t="str">
            <v>22-012</v>
          </cell>
          <cell r="B145" t="str">
            <v>bGAeNBk9nMayQBGNS</v>
          </cell>
          <cell r="C145">
            <v>171177722</v>
          </cell>
          <cell r="D145" t="str">
            <v>ភោជនីយដ្ឋានសប្បាយណាស់</v>
          </cell>
          <cell r="E145">
            <v>28200</v>
          </cell>
          <cell r="F145">
            <v>12</v>
          </cell>
          <cell r="G145">
            <v>171116104</v>
          </cell>
          <cell r="H145">
            <v>1700</v>
          </cell>
          <cell r="I145">
            <v>1000</v>
          </cell>
          <cell r="J145">
            <v>17</v>
          </cell>
          <cell r="K145">
            <v>25500</v>
          </cell>
        </row>
        <row r="146">
          <cell r="A146" t="str">
            <v>22-243</v>
          </cell>
          <cell r="B146" t="str">
            <v>qkCDmn5EKGD3dWSrP</v>
          </cell>
          <cell r="C146">
            <v>171177953</v>
          </cell>
          <cell r="D146" t="str">
            <v>ដៃដែក</v>
          </cell>
          <cell r="E146">
            <v>71400</v>
          </cell>
          <cell r="F146">
            <v>243</v>
          </cell>
          <cell r="G146">
            <v>171117009</v>
          </cell>
          <cell r="H146">
            <v>4400</v>
          </cell>
          <cell r="I146">
            <v>1000</v>
          </cell>
          <cell r="J146">
            <v>44</v>
          </cell>
          <cell r="K146">
            <v>66000</v>
          </cell>
        </row>
        <row r="147">
          <cell r="A147" t="str">
            <v>22-186</v>
          </cell>
          <cell r="B147" t="str">
            <v>RgxHW3WYmF4SmtGRr</v>
          </cell>
          <cell r="C147">
            <v>171177896</v>
          </cell>
          <cell r="D147" t="str">
            <v>យ៉ម ចំរើន ៤</v>
          </cell>
          <cell r="E147">
            <v>202600</v>
          </cell>
          <cell r="F147">
            <v>186</v>
          </cell>
          <cell r="G147">
            <v>171116958</v>
          </cell>
          <cell r="H147">
            <v>12600</v>
          </cell>
          <cell r="I147">
            <v>1000</v>
          </cell>
          <cell r="J147">
            <v>126</v>
          </cell>
          <cell r="K147">
            <v>189000</v>
          </cell>
        </row>
        <row r="148">
          <cell r="A148" t="str">
            <v>22-219</v>
          </cell>
          <cell r="B148" t="str">
            <v>xcbH5BivX4PSuvc3c</v>
          </cell>
          <cell r="C148">
            <v>171177929</v>
          </cell>
          <cell r="D148" t="str">
            <v>ង៉ូវ វែងហុក</v>
          </cell>
          <cell r="E148">
            <v>1404200</v>
          </cell>
          <cell r="F148">
            <v>219</v>
          </cell>
          <cell r="G148">
            <v>171116988</v>
          </cell>
          <cell r="H148">
            <v>87700</v>
          </cell>
          <cell r="I148">
            <v>1000</v>
          </cell>
          <cell r="J148">
            <v>877</v>
          </cell>
          <cell r="K148">
            <v>1315500</v>
          </cell>
        </row>
        <row r="149">
          <cell r="A149" t="str">
            <v>22-274</v>
          </cell>
          <cell r="B149" t="str">
            <v>oWKvnH53EuZMXHLWW</v>
          </cell>
          <cell r="C149">
            <v>171177984</v>
          </cell>
          <cell r="D149" t="str">
            <v>នៅ សិទ្ធិគុណ</v>
          </cell>
          <cell r="E149">
            <v>76200</v>
          </cell>
          <cell r="F149">
            <v>274</v>
          </cell>
          <cell r="G149">
            <v>171117039</v>
          </cell>
          <cell r="H149">
            <v>4700</v>
          </cell>
          <cell r="I149">
            <v>1000</v>
          </cell>
          <cell r="J149">
            <v>47</v>
          </cell>
          <cell r="K149">
            <v>70500</v>
          </cell>
        </row>
        <row r="150">
          <cell r="A150" t="str">
            <v>22-151</v>
          </cell>
          <cell r="B150" t="str">
            <v>yQg84iMBvFfRaSqM9</v>
          </cell>
          <cell r="C150">
            <v>171177861</v>
          </cell>
          <cell r="D150" t="str">
            <v>កូវ ជីងប៊ុង</v>
          </cell>
          <cell r="E150">
            <v>676200</v>
          </cell>
          <cell r="F150">
            <v>151</v>
          </cell>
          <cell r="G150">
            <v>171116926</v>
          </cell>
          <cell r="H150">
            <v>42200</v>
          </cell>
          <cell r="I150">
            <v>1000</v>
          </cell>
          <cell r="J150">
            <v>422</v>
          </cell>
          <cell r="K150">
            <v>633000</v>
          </cell>
        </row>
        <row r="151">
          <cell r="A151" t="str">
            <v>22-221</v>
          </cell>
          <cell r="B151" t="str">
            <v>M9noKeMkcC3v4BXBH</v>
          </cell>
          <cell r="C151">
            <v>171177931</v>
          </cell>
          <cell r="D151" t="str">
            <v>ខេមរាបាត់ដំបង ២</v>
          </cell>
          <cell r="E151">
            <v>1001000</v>
          </cell>
          <cell r="F151">
            <v>221</v>
          </cell>
          <cell r="G151">
            <v>171116990</v>
          </cell>
          <cell r="H151">
            <v>62500</v>
          </cell>
          <cell r="I151">
            <v>1000</v>
          </cell>
          <cell r="J151">
            <v>625</v>
          </cell>
          <cell r="K151">
            <v>937500</v>
          </cell>
        </row>
        <row r="152">
          <cell r="A152" t="str">
            <v>22-220</v>
          </cell>
          <cell r="B152" t="str">
            <v>WLc7jFRWFqutRhXRP</v>
          </cell>
          <cell r="C152">
            <v>171177930</v>
          </cell>
          <cell r="D152" t="str">
            <v>ខេមរាបាត់ដំបង ១</v>
          </cell>
          <cell r="E152">
            <v>143400</v>
          </cell>
          <cell r="F152">
            <v>220</v>
          </cell>
          <cell r="G152">
            <v>171116989</v>
          </cell>
          <cell r="H152">
            <v>8900</v>
          </cell>
          <cell r="I152">
            <v>1000</v>
          </cell>
          <cell r="J152">
            <v>89</v>
          </cell>
          <cell r="K152">
            <v>133500</v>
          </cell>
        </row>
        <row r="153">
          <cell r="A153" t="str">
            <v>22-098</v>
          </cell>
          <cell r="B153" t="str">
            <v>RzvHT5h3Kd4AHEGkZ</v>
          </cell>
          <cell r="C153">
            <v>171177808</v>
          </cell>
          <cell r="D153" t="str">
            <v>ឯ.ឧ. ងិន ឃន ៣</v>
          </cell>
          <cell r="E153">
            <v>1249000</v>
          </cell>
          <cell r="F153">
            <v>98</v>
          </cell>
          <cell r="G153">
            <v>171116184</v>
          </cell>
          <cell r="H153">
            <v>78000</v>
          </cell>
          <cell r="I153">
            <v>1000</v>
          </cell>
          <cell r="J153">
            <v>780</v>
          </cell>
          <cell r="K153">
            <v>1170000</v>
          </cell>
        </row>
        <row r="154">
          <cell r="A154" t="str">
            <v>22-182</v>
          </cell>
          <cell r="B154" t="str">
            <v>Q3AXBaf5GWfsZQHr8</v>
          </cell>
          <cell r="C154">
            <v>171177892</v>
          </cell>
          <cell r="D154" t="str">
            <v>ងិន ឃន ១</v>
          </cell>
          <cell r="E154">
            <v>9274600</v>
          </cell>
          <cell r="F154">
            <v>182</v>
          </cell>
          <cell r="G154">
            <v>171116954</v>
          </cell>
          <cell r="H154">
            <v>579600</v>
          </cell>
          <cell r="I154">
            <v>1000</v>
          </cell>
          <cell r="J154">
            <v>5796</v>
          </cell>
          <cell r="K154">
            <v>8694000</v>
          </cell>
        </row>
        <row r="155">
          <cell r="A155" t="str">
            <v>22-042</v>
          </cell>
          <cell r="B155" t="str">
            <v>SKtSadaun9CE35EHg</v>
          </cell>
          <cell r="C155">
            <v>171177752</v>
          </cell>
          <cell r="D155" t="str">
            <v>ងួន ហួត (ថៃលី)</v>
          </cell>
          <cell r="E155">
            <v>437800</v>
          </cell>
          <cell r="F155">
            <v>42</v>
          </cell>
          <cell r="G155">
            <v>171116133</v>
          </cell>
          <cell r="H155">
            <v>27300</v>
          </cell>
          <cell r="I155">
            <v>1000</v>
          </cell>
          <cell r="J155">
            <v>273</v>
          </cell>
          <cell r="K155">
            <v>409500</v>
          </cell>
        </row>
        <row r="156">
          <cell r="A156" t="str">
            <v>22-265</v>
          </cell>
          <cell r="B156" t="str">
            <v>HYbFmC4EEWFibGP4d</v>
          </cell>
          <cell r="C156">
            <v>171177975</v>
          </cell>
          <cell r="D156" t="str">
            <v>ផ្សារថ្មី</v>
          </cell>
          <cell r="E156">
            <v>503400</v>
          </cell>
          <cell r="F156">
            <v>265</v>
          </cell>
          <cell r="G156">
            <v>171117030</v>
          </cell>
          <cell r="H156">
            <v>31400</v>
          </cell>
          <cell r="I156">
            <v>1000</v>
          </cell>
          <cell r="J156">
            <v>314</v>
          </cell>
          <cell r="K156">
            <v>471000</v>
          </cell>
        </row>
        <row r="157">
          <cell r="A157" t="str">
            <v>22-189</v>
          </cell>
          <cell r="B157" t="str">
            <v>x7NZq6uMBdifWXKNe</v>
          </cell>
          <cell r="C157">
            <v>171177899</v>
          </cell>
          <cell r="D157" t="str">
            <v>វ៉ាន់ ហម</v>
          </cell>
          <cell r="E157">
            <v>41000</v>
          </cell>
          <cell r="F157">
            <v>189</v>
          </cell>
          <cell r="G157">
            <v>171116961</v>
          </cell>
          <cell r="H157">
            <v>2500</v>
          </cell>
          <cell r="I157">
            <v>1000</v>
          </cell>
          <cell r="J157">
            <v>25</v>
          </cell>
          <cell r="K157">
            <v>37500</v>
          </cell>
        </row>
        <row r="158">
          <cell r="A158" t="str">
            <v>22-121</v>
          </cell>
          <cell r="B158" t="str">
            <v>cTYJxA8bxSj9GWuD4</v>
          </cell>
          <cell r="C158">
            <v>171177831</v>
          </cell>
          <cell r="D158" t="str">
            <v>គិត រ៉ាវី</v>
          </cell>
          <cell r="E158">
            <v>1065000</v>
          </cell>
          <cell r="F158">
            <v>121</v>
          </cell>
          <cell r="G158">
            <v>171116206</v>
          </cell>
          <cell r="H158">
            <v>66500</v>
          </cell>
          <cell r="I158">
            <v>1000</v>
          </cell>
          <cell r="J158">
            <v>665</v>
          </cell>
          <cell r="K158">
            <v>997500</v>
          </cell>
        </row>
        <row r="159">
          <cell r="A159" t="str">
            <v>22-137</v>
          </cell>
          <cell r="B159" t="str">
            <v>5ggAoJWjGkjQuGEDh</v>
          </cell>
          <cell r="C159">
            <v>171177847</v>
          </cell>
          <cell r="D159" t="str">
            <v>យ៉ា សារឿន</v>
          </cell>
          <cell r="E159">
            <v>197800</v>
          </cell>
          <cell r="F159">
            <v>137</v>
          </cell>
          <cell r="G159">
            <v>171116912</v>
          </cell>
          <cell r="H159">
            <v>12300</v>
          </cell>
          <cell r="I159">
            <v>1000</v>
          </cell>
          <cell r="J159">
            <v>123</v>
          </cell>
          <cell r="K159">
            <v>184500</v>
          </cell>
        </row>
        <row r="160">
          <cell r="A160" t="str">
            <v>22-046</v>
          </cell>
          <cell r="B160" t="str">
            <v>E42Epc5dmq7Rjcbza</v>
          </cell>
          <cell r="C160">
            <v>171177756</v>
          </cell>
          <cell r="D160" t="str">
            <v>ទាន់សម័យម៉ាស្សាខារ៉ាអូខេ</v>
          </cell>
          <cell r="E160">
            <v>399400</v>
          </cell>
          <cell r="F160">
            <v>46</v>
          </cell>
          <cell r="G160">
            <v>171116137</v>
          </cell>
          <cell r="H160">
            <v>24900</v>
          </cell>
          <cell r="I160">
            <v>1000</v>
          </cell>
          <cell r="J160">
            <v>249</v>
          </cell>
          <cell r="K160">
            <v>373500</v>
          </cell>
        </row>
        <row r="161">
          <cell r="A161" t="str">
            <v>22-235</v>
          </cell>
          <cell r="B161" t="str">
            <v>hit7bMigGH5oZWRmL</v>
          </cell>
          <cell r="C161">
            <v>171177945</v>
          </cell>
          <cell r="D161" t="str">
            <v>បេង ភី</v>
          </cell>
          <cell r="E161">
            <v>252200</v>
          </cell>
          <cell r="F161">
            <v>235</v>
          </cell>
          <cell r="G161">
            <v>171117002</v>
          </cell>
          <cell r="H161">
            <v>15700</v>
          </cell>
          <cell r="I161">
            <v>1000</v>
          </cell>
          <cell r="J161">
            <v>157</v>
          </cell>
          <cell r="K161">
            <v>235500</v>
          </cell>
        </row>
        <row r="162">
          <cell r="A162" t="str">
            <v>22-060</v>
          </cell>
          <cell r="B162" t="str">
            <v>SGErzaHCmNzEQkXmE</v>
          </cell>
          <cell r="C162">
            <v>171177770</v>
          </cell>
          <cell r="D162" t="str">
            <v>សណ្ឋាគារ ឃីង</v>
          </cell>
          <cell r="E162">
            <v>2434600</v>
          </cell>
          <cell r="F162">
            <v>60</v>
          </cell>
          <cell r="G162">
            <v>171116150</v>
          </cell>
          <cell r="H162">
            <v>152100</v>
          </cell>
          <cell r="I162">
            <v>1000</v>
          </cell>
          <cell r="J162">
            <v>1521</v>
          </cell>
          <cell r="K162">
            <v>2281500</v>
          </cell>
        </row>
        <row r="163">
          <cell r="A163" t="str">
            <v>22-037</v>
          </cell>
          <cell r="B163" t="str">
            <v>hwmqbTftkFtCg9LKm</v>
          </cell>
          <cell r="C163">
            <v>171177747</v>
          </cell>
          <cell r="D163" t="str">
            <v>យ៉ាន បូផៃ សាច់អាំង២</v>
          </cell>
          <cell r="E163">
            <v>1013800</v>
          </cell>
          <cell r="F163">
            <v>37</v>
          </cell>
          <cell r="G163">
            <v>171116128</v>
          </cell>
          <cell r="H163">
            <v>63300</v>
          </cell>
          <cell r="I163">
            <v>1000</v>
          </cell>
          <cell r="J163">
            <v>633</v>
          </cell>
          <cell r="K163">
            <v>949500</v>
          </cell>
        </row>
        <row r="164">
          <cell r="A164" t="str">
            <v>22-084</v>
          </cell>
          <cell r="B164" t="str">
            <v>njaE3cmQ6QfG7ooxM</v>
          </cell>
          <cell r="C164">
            <v>171177794</v>
          </cell>
          <cell r="D164" t="str">
            <v>ម៉ៅ សេងថៃ ភរំចេក៤</v>
          </cell>
          <cell r="E164">
            <v>2481000</v>
          </cell>
          <cell r="F164">
            <v>84</v>
          </cell>
          <cell r="G164">
            <v>171116172</v>
          </cell>
          <cell r="H164">
            <v>155000</v>
          </cell>
          <cell r="I164">
            <v>1000</v>
          </cell>
          <cell r="J164">
            <v>1550</v>
          </cell>
          <cell r="K164">
            <v>2325000</v>
          </cell>
        </row>
        <row r="165">
          <cell r="A165" t="str">
            <v>22-086</v>
          </cell>
          <cell r="B165" t="str">
            <v>kPsz9PcTuHCA5bneK</v>
          </cell>
          <cell r="C165">
            <v>171177796</v>
          </cell>
          <cell r="D165" t="str">
            <v>យូ ចាន់ទី</v>
          </cell>
          <cell r="E165">
            <v>557800</v>
          </cell>
          <cell r="F165">
            <v>86</v>
          </cell>
          <cell r="G165">
            <v>171116174</v>
          </cell>
          <cell r="H165">
            <v>34800</v>
          </cell>
          <cell r="I165">
            <v>1000</v>
          </cell>
          <cell r="J165">
            <v>348</v>
          </cell>
          <cell r="K165">
            <v>522000</v>
          </cell>
        </row>
        <row r="166">
          <cell r="A166" t="str">
            <v>22-100</v>
          </cell>
          <cell r="B166" t="str">
            <v>uza2rAA94saKMYC4t</v>
          </cell>
          <cell r="C166">
            <v>171177810</v>
          </cell>
          <cell r="D166" t="str">
            <v>សកលវិទ្យាល័យ ប្រជាជាតិ</v>
          </cell>
          <cell r="E166">
            <v>1842600</v>
          </cell>
          <cell r="F166">
            <v>100</v>
          </cell>
          <cell r="G166">
            <v>171116186</v>
          </cell>
          <cell r="H166">
            <v>115100</v>
          </cell>
          <cell r="I166">
            <v>1000</v>
          </cell>
          <cell r="J166">
            <v>1151</v>
          </cell>
          <cell r="K166">
            <v>1726500</v>
          </cell>
        </row>
        <row r="167">
          <cell r="A167" t="str">
            <v>22-154</v>
          </cell>
          <cell r="B167" t="str">
            <v>4jsKQfjy58Eoe8jqF</v>
          </cell>
          <cell r="C167">
            <v>171177864</v>
          </cell>
          <cell r="D167" t="str">
            <v>មណ្ឌលវិជ្ជាសាស្ត្រហាន់ដា</v>
          </cell>
          <cell r="E167">
            <v>154600</v>
          </cell>
          <cell r="F167">
            <v>154</v>
          </cell>
          <cell r="G167">
            <v>171116929</v>
          </cell>
          <cell r="H167">
            <v>9600</v>
          </cell>
          <cell r="I167">
            <v>1000</v>
          </cell>
          <cell r="J167">
            <v>96</v>
          </cell>
          <cell r="K167">
            <v>144000</v>
          </cell>
        </row>
        <row r="168">
          <cell r="A168" t="str">
            <v>22-110</v>
          </cell>
          <cell r="B168" t="str">
            <v>2ss2FC7udqMd8iTvk</v>
          </cell>
          <cell r="C168">
            <v>171177820</v>
          </cell>
          <cell r="D168" t="str">
            <v>សុខ សុខុម</v>
          </cell>
          <cell r="E168">
            <v>1399400</v>
          </cell>
          <cell r="F168">
            <v>110</v>
          </cell>
          <cell r="G168">
            <v>171116196</v>
          </cell>
          <cell r="H168">
            <v>87400</v>
          </cell>
          <cell r="I168">
            <v>1000</v>
          </cell>
          <cell r="J168">
            <v>874</v>
          </cell>
          <cell r="K168">
            <v>1311000</v>
          </cell>
        </row>
        <row r="169">
          <cell r="A169" t="str">
            <v>22-256</v>
          </cell>
          <cell r="B169" t="str">
            <v>CsEJv6rC8vEdvZtJY</v>
          </cell>
          <cell r="C169">
            <v>171177966</v>
          </cell>
          <cell r="D169" t="str">
            <v>ឈិត សុក</v>
          </cell>
          <cell r="E169">
            <v>252200</v>
          </cell>
          <cell r="F169">
            <v>256</v>
          </cell>
          <cell r="G169">
            <v>171117022</v>
          </cell>
          <cell r="H169">
            <v>15700</v>
          </cell>
          <cell r="I169">
            <v>1000</v>
          </cell>
          <cell r="J169">
            <v>157</v>
          </cell>
          <cell r="K169">
            <v>235500</v>
          </cell>
        </row>
        <row r="170">
          <cell r="A170" t="str">
            <v>22-279</v>
          </cell>
          <cell r="B170" t="str">
            <v>5XonydMHeW3t9MzMz</v>
          </cell>
          <cell r="C170">
            <v>171177989</v>
          </cell>
          <cell r="D170" t="str">
            <v>វិទ្យាល័យបៀលប្រាយ ៣</v>
          </cell>
          <cell r="E170">
            <v>138600</v>
          </cell>
          <cell r="F170">
            <v>279</v>
          </cell>
          <cell r="G170">
            <v>171117044</v>
          </cell>
          <cell r="H170">
            <v>8600</v>
          </cell>
          <cell r="I170">
            <v>1000</v>
          </cell>
          <cell r="J170">
            <v>86</v>
          </cell>
          <cell r="K170">
            <v>129000</v>
          </cell>
        </row>
        <row r="171">
          <cell r="A171" t="str">
            <v>22-181</v>
          </cell>
          <cell r="B171" t="str">
            <v>TW4vi5DyrtGjiQ9Jx</v>
          </cell>
          <cell r="C171">
            <v>171177891</v>
          </cell>
          <cell r="D171" t="str">
            <v>វិទ្យាល័យបៀលប្រាយ ២</v>
          </cell>
          <cell r="E171">
            <v>341800</v>
          </cell>
          <cell r="F171">
            <v>181</v>
          </cell>
          <cell r="G171">
            <v>171116953</v>
          </cell>
          <cell r="H171">
            <v>21300</v>
          </cell>
          <cell r="I171">
            <v>1000</v>
          </cell>
          <cell r="J171">
            <v>213</v>
          </cell>
          <cell r="K171">
            <v>319500</v>
          </cell>
        </row>
        <row r="172">
          <cell r="A172" t="str">
            <v>22-150</v>
          </cell>
          <cell r="B172" t="str">
            <v>tB5655DJk227hRPyJ</v>
          </cell>
          <cell r="C172">
            <v>171177860</v>
          </cell>
          <cell r="D172" t="str">
            <v>វិទ្យាល័យបៀលប្រាយ ១</v>
          </cell>
          <cell r="E172">
            <v>207400</v>
          </cell>
          <cell r="F172">
            <v>150</v>
          </cell>
          <cell r="G172">
            <v>171116925</v>
          </cell>
          <cell r="H172">
            <v>12900</v>
          </cell>
          <cell r="I172">
            <v>1000</v>
          </cell>
          <cell r="J172">
            <v>129</v>
          </cell>
          <cell r="K172">
            <v>193500</v>
          </cell>
        </row>
        <row r="173">
          <cell r="A173" t="str">
            <v>22-013</v>
          </cell>
          <cell r="B173" t="str">
            <v>yDE22ZnTMNXjm4jcw</v>
          </cell>
          <cell r="C173">
            <v>171177723</v>
          </cell>
          <cell r="D173" t="str">
            <v>សួន សារុន ត្បូងវត្តសង្កែ</v>
          </cell>
          <cell r="E173">
            <v>578600</v>
          </cell>
          <cell r="F173">
            <v>13</v>
          </cell>
          <cell r="G173">
            <v>171116105</v>
          </cell>
          <cell r="H173">
            <v>36100</v>
          </cell>
          <cell r="I173">
            <v>1000</v>
          </cell>
          <cell r="J173">
            <v>361</v>
          </cell>
          <cell r="K173">
            <v>541500</v>
          </cell>
        </row>
        <row r="174">
          <cell r="A174" t="str">
            <v>22-053</v>
          </cell>
          <cell r="B174" t="str">
            <v>xnLCe7u5sTbb7ZzE3</v>
          </cell>
          <cell r="C174">
            <v>171177763</v>
          </cell>
          <cell r="D174" t="str">
            <v>ផិត ផៃណុង</v>
          </cell>
          <cell r="E174">
            <v>426600</v>
          </cell>
          <cell r="F174">
            <v>53</v>
          </cell>
          <cell r="G174">
            <v>171116143</v>
          </cell>
          <cell r="H174">
            <v>26600</v>
          </cell>
          <cell r="I174">
            <v>1000</v>
          </cell>
          <cell r="J174">
            <v>266</v>
          </cell>
          <cell r="K174">
            <v>399000</v>
          </cell>
        </row>
        <row r="175">
          <cell r="A175" t="str">
            <v>22-036</v>
          </cell>
          <cell r="B175" t="str">
            <v>aRXymMSo8mrZPzL7Z</v>
          </cell>
          <cell r="C175">
            <v>171177746</v>
          </cell>
          <cell r="D175" t="str">
            <v>ស៊ុន សារ៉េត</v>
          </cell>
          <cell r="E175">
            <v>290600</v>
          </cell>
          <cell r="F175">
            <v>36</v>
          </cell>
          <cell r="G175">
            <v>171116127</v>
          </cell>
          <cell r="H175">
            <v>18100</v>
          </cell>
          <cell r="I175">
            <v>1000</v>
          </cell>
          <cell r="J175">
            <v>181</v>
          </cell>
          <cell r="K175">
            <v>271500</v>
          </cell>
        </row>
        <row r="176">
          <cell r="A176" t="str">
            <v>22-176</v>
          </cell>
          <cell r="B176" t="str">
            <v>HSXGPsiL4ye4sLLuQ</v>
          </cell>
          <cell r="C176">
            <v>171177886</v>
          </cell>
          <cell r="D176" t="str">
            <v>ណៃ គឹមសុន ២</v>
          </cell>
          <cell r="E176">
            <v>545000</v>
          </cell>
          <cell r="F176">
            <v>176</v>
          </cell>
          <cell r="G176">
            <v>171116948</v>
          </cell>
          <cell r="H176">
            <v>34000</v>
          </cell>
          <cell r="I176">
            <v>1000</v>
          </cell>
          <cell r="J176">
            <v>340</v>
          </cell>
          <cell r="K176">
            <v>510000</v>
          </cell>
        </row>
        <row r="177">
          <cell r="A177" t="str">
            <v>22-022</v>
          </cell>
          <cell r="B177" t="str">
            <v>ZKcF6oyd2L3ektoj8</v>
          </cell>
          <cell r="C177">
            <v>171177732</v>
          </cell>
          <cell r="D177" t="str">
            <v>យ៉ម ចំរើន ១</v>
          </cell>
          <cell r="E177">
            <v>175400</v>
          </cell>
          <cell r="F177">
            <v>22</v>
          </cell>
          <cell r="G177">
            <v>171116113</v>
          </cell>
          <cell r="H177">
            <v>10900</v>
          </cell>
          <cell r="I177">
            <v>1000</v>
          </cell>
          <cell r="J177">
            <v>109</v>
          </cell>
          <cell r="K177">
            <v>163500</v>
          </cell>
        </row>
        <row r="178">
          <cell r="A178" t="str">
            <v>22-283</v>
          </cell>
          <cell r="B178" t="str">
            <v>wMY6FktvuCybRtvud</v>
          </cell>
          <cell r="C178">
            <v>171177993</v>
          </cell>
          <cell r="D178" t="str">
            <v>គង់ ធី</v>
          </cell>
          <cell r="E178">
            <v>279400</v>
          </cell>
          <cell r="F178">
            <v>283</v>
          </cell>
          <cell r="G178">
            <v>171117048</v>
          </cell>
          <cell r="H178">
            <v>17400</v>
          </cell>
          <cell r="I178">
            <v>1000</v>
          </cell>
          <cell r="J178">
            <v>174</v>
          </cell>
          <cell r="K178">
            <v>261000</v>
          </cell>
        </row>
        <row r="179">
          <cell r="A179" t="str">
            <v>22-062</v>
          </cell>
          <cell r="B179" t="str">
            <v>Y9g4yHsWYB4SJBq6e</v>
          </cell>
          <cell r="C179">
            <v>171177772</v>
          </cell>
          <cell r="D179" t="str">
            <v>វិច តូរីយ៉ា(សណ្ឋាគារ)</v>
          </cell>
          <cell r="E179">
            <v>842600</v>
          </cell>
          <cell r="F179">
            <v>62</v>
          </cell>
          <cell r="G179">
            <v>171116152</v>
          </cell>
          <cell r="H179">
            <v>52600</v>
          </cell>
          <cell r="I179">
            <v>1000</v>
          </cell>
          <cell r="J179">
            <v>526</v>
          </cell>
          <cell r="K179">
            <v>789000</v>
          </cell>
        </row>
        <row r="180">
          <cell r="A180" t="str">
            <v>22-147</v>
          </cell>
          <cell r="B180" t="str">
            <v>LBYqfqrCZ533hzYZc</v>
          </cell>
          <cell r="C180">
            <v>171177857</v>
          </cell>
          <cell r="D180" t="str">
            <v>ហុង ឆាយ</v>
          </cell>
          <cell r="E180">
            <v>348200</v>
          </cell>
          <cell r="F180">
            <v>147</v>
          </cell>
          <cell r="G180">
            <v>171116922</v>
          </cell>
          <cell r="H180">
            <v>21700</v>
          </cell>
          <cell r="I180">
            <v>1000</v>
          </cell>
          <cell r="J180">
            <v>217</v>
          </cell>
          <cell r="K180">
            <v>325500</v>
          </cell>
        </row>
        <row r="181">
          <cell r="A181" t="str">
            <v>22-270</v>
          </cell>
          <cell r="B181" t="str">
            <v>gD72EFmZGYaDXFXTb</v>
          </cell>
          <cell r="C181">
            <v>171177980</v>
          </cell>
          <cell r="D181" t="str">
            <v>តុប ថូលីណា ១</v>
          </cell>
          <cell r="E181">
            <v>959400</v>
          </cell>
          <cell r="F181">
            <v>270</v>
          </cell>
          <cell r="G181">
            <v>171117035</v>
          </cell>
          <cell r="H181">
            <v>59900</v>
          </cell>
          <cell r="I181">
            <v>1000</v>
          </cell>
          <cell r="J181">
            <v>599</v>
          </cell>
          <cell r="K181">
            <v>898500</v>
          </cell>
        </row>
        <row r="182">
          <cell r="A182" t="str">
            <v>22-271</v>
          </cell>
          <cell r="B182" t="str">
            <v>GZLG8bJewrPpxL3QA</v>
          </cell>
          <cell r="C182">
            <v>171177981</v>
          </cell>
          <cell r="D182" t="str">
            <v>តុប ថូលីណា ២</v>
          </cell>
          <cell r="E182">
            <v>116200</v>
          </cell>
          <cell r="F182">
            <v>271</v>
          </cell>
          <cell r="G182">
            <v>171117036</v>
          </cell>
          <cell r="H182">
            <v>7200</v>
          </cell>
          <cell r="I182">
            <v>1000</v>
          </cell>
          <cell r="J182">
            <v>72</v>
          </cell>
          <cell r="K182">
            <v>108000</v>
          </cell>
        </row>
        <row r="183">
          <cell r="A183" t="str">
            <v>22-075</v>
          </cell>
          <cell r="B183" t="str">
            <v>2h5joCM87od7hYDYA</v>
          </cell>
          <cell r="C183">
            <v>171177785</v>
          </cell>
          <cell r="D183" t="str">
            <v>ឃេ អូ ភោជនីយដ្ឋាន</v>
          </cell>
          <cell r="E183">
            <v>1367400</v>
          </cell>
          <cell r="F183">
            <v>75</v>
          </cell>
          <cell r="G183">
            <v>171116164</v>
          </cell>
          <cell r="H183">
            <v>85400</v>
          </cell>
          <cell r="I183">
            <v>1000</v>
          </cell>
          <cell r="J183">
            <v>854</v>
          </cell>
          <cell r="K183">
            <v>1281000</v>
          </cell>
        </row>
        <row r="184">
          <cell r="A184" t="str">
            <v>22-082</v>
          </cell>
          <cell r="B184" t="str">
            <v>cM4gtg3XdrDgx3N4H</v>
          </cell>
          <cell r="C184">
            <v>171177792</v>
          </cell>
          <cell r="D184" t="str">
            <v>វី ឆែ</v>
          </cell>
          <cell r="E184">
            <v>2164200</v>
          </cell>
          <cell r="F184">
            <v>82</v>
          </cell>
          <cell r="G184">
            <v>171116170</v>
          </cell>
          <cell r="H184">
            <v>135200</v>
          </cell>
          <cell r="I184">
            <v>1000</v>
          </cell>
          <cell r="J184">
            <v>1352</v>
          </cell>
          <cell r="K184">
            <v>2028000</v>
          </cell>
        </row>
        <row r="185">
          <cell r="A185" t="str">
            <v>22-257</v>
          </cell>
          <cell r="B185" t="str">
            <v>Xd8dDChTxWB6z67B8</v>
          </cell>
          <cell r="C185">
            <v>171177967</v>
          </cell>
          <cell r="D185" t="str">
            <v>អែម សុផល</v>
          </cell>
          <cell r="E185">
            <v>73000</v>
          </cell>
          <cell r="F185">
            <v>257</v>
          </cell>
          <cell r="G185">
            <v>171117023</v>
          </cell>
          <cell r="H185">
            <v>4500</v>
          </cell>
          <cell r="I185">
            <v>1000</v>
          </cell>
          <cell r="J185">
            <v>45</v>
          </cell>
          <cell r="K185">
            <v>67500</v>
          </cell>
        </row>
        <row r="186">
          <cell r="A186" t="str">
            <v>22-226</v>
          </cell>
          <cell r="B186" t="str">
            <v>y8BkknAeFhE7ZDgjs</v>
          </cell>
          <cell r="C186">
            <v>171177936</v>
          </cell>
          <cell r="D186" t="str">
            <v>សុខ រ៉ាថន (ការ៉ាស់សាំង សូគីម៉ិច )</v>
          </cell>
          <cell r="E186">
            <v>308200</v>
          </cell>
          <cell r="F186">
            <v>226</v>
          </cell>
          <cell r="G186">
            <v>171116994</v>
          </cell>
          <cell r="H186">
            <v>19200</v>
          </cell>
          <cell r="I186">
            <v>1000</v>
          </cell>
          <cell r="J186">
            <v>192</v>
          </cell>
          <cell r="K186">
            <v>288000</v>
          </cell>
        </row>
        <row r="187">
          <cell r="A187" t="str">
            <v>22-033</v>
          </cell>
          <cell r="B187" t="str">
            <v>gG4ztutBdeHhR3rey</v>
          </cell>
          <cell r="C187">
            <v>171177743</v>
          </cell>
          <cell r="D187" t="str">
            <v>ឃឹម វុទ្ធី</v>
          </cell>
          <cell r="E187">
            <v>231400</v>
          </cell>
          <cell r="F187">
            <v>33</v>
          </cell>
          <cell r="G187">
            <v>171116124</v>
          </cell>
          <cell r="H187">
            <v>14400</v>
          </cell>
          <cell r="I187">
            <v>1000</v>
          </cell>
          <cell r="J187">
            <v>144</v>
          </cell>
          <cell r="K187">
            <v>216000</v>
          </cell>
        </row>
        <row r="188">
          <cell r="A188" t="str">
            <v>22-193</v>
          </cell>
          <cell r="B188" t="str">
            <v>oimZEKzgHujM3jQXi</v>
          </cell>
          <cell r="C188">
            <v>171177903</v>
          </cell>
          <cell r="D188" t="str">
            <v>សួន រើន</v>
          </cell>
          <cell r="E188">
            <v>95400</v>
          </cell>
          <cell r="F188">
            <v>193</v>
          </cell>
          <cell r="G188">
            <v>171116964</v>
          </cell>
          <cell r="H188">
            <v>5900</v>
          </cell>
          <cell r="I188">
            <v>1000</v>
          </cell>
          <cell r="J188">
            <v>59</v>
          </cell>
          <cell r="K188">
            <v>88500</v>
          </cell>
        </row>
        <row r="189">
          <cell r="A189" t="str">
            <v>22-169</v>
          </cell>
          <cell r="B189" t="str">
            <v>6idqKB87gEeEvhnR6</v>
          </cell>
          <cell r="C189">
            <v>171177879</v>
          </cell>
          <cell r="D189" t="str">
            <v>ហ៊ុយុ ហេង</v>
          </cell>
          <cell r="E189">
            <v>63400</v>
          </cell>
          <cell r="F189">
            <v>169</v>
          </cell>
          <cell r="G189">
            <v>171116943</v>
          </cell>
          <cell r="H189">
            <v>3900</v>
          </cell>
          <cell r="I189">
            <v>1000</v>
          </cell>
          <cell r="J189">
            <v>39</v>
          </cell>
          <cell r="K189">
            <v>58500</v>
          </cell>
        </row>
        <row r="190">
          <cell r="A190" t="str">
            <v>22-166</v>
          </cell>
          <cell r="B190" t="str">
            <v>c4BtqxuD7aMA8krCQ</v>
          </cell>
          <cell r="C190">
            <v>171177876</v>
          </cell>
          <cell r="D190" t="str">
            <v>សាប៊ូ អូហ្សាណូ</v>
          </cell>
          <cell r="E190">
            <v>314600</v>
          </cell>
          <cell r="F190">
            <v>166</v>
          </cell>
          <cell r="G190">
            <v>171116940</v>
          </cell>
          <cell r="H190">
            <v>19600</v>
          </cell>
          <cell r="I190">
            <v>1000</v>
          </cell>
          <cell r="J190">
            <v>196</v>
          </cell>
          <cell r="K190">
            <v>294000</v>
          </cell>
        </row>
        <row r="191">
          <cell r="A191" t="str">
            <v>22-268</v>
          </cell>
          <cell r="B191" t="str">
            <v>SDy29g8sFSwx4WAqL</v>
          </cell>
          <cell r="C191">
            <v>171177978</v>
          </cell>
          <cell r="D191" t="str">
            <v>ចេង អឿន</v>
          </cell>
          <cell r="E191">
            <v>658600</v>
          </cell>
          <cell r="F191">
            <v>268</v>
          </cell>
          <cell r="G191">
            <v>171117033</v>
          </cell>
          <cell r="H191">
            <v>41100</v>
          </cell>
          <cell r="I191">
            <v>1000</v>
          </cell>
          <cell r="J191">
            <v>411</v>
          </cell>
          <cell r="K191">
            <v>616500</v>
          </cell>
        </row>
        <row r="192">
          <cell r="A192" t="str">
            <v>22-228</v>
          </cell>
          <cell r="B192" t="str">
            <v>RRs25EJtMcJybhS67</v>
          </cell>
          <cell r="C192">
            <v>171177938</v>
          </cell>
          <cell r="D192" t="str">
            <v>មឹក ហេង</v>
          </cell>
          <cell r="E192">
            <v>193000</v>
          </cell>
          <cell r="F192">
            <v>228</v>
          </cell>
          <cell r="G192">
            <v>171116996</v>
          </cell>
          <cell r="H192">
            <v>12000</v>
          </cell>
          <cell r="I192">
            <v>1000</v>
          </cell>
          <cell r="J192">
            <v>120</v>
          </cell>
          <cell r="K192">
            <v>180000</v>
          </cell>
        </row>
        <row r="193">
          <cell r="A193" t="str">
            <v>22-070</v>
          </cell>
          <cell r="B193" t="str">
            <v>Bbf4hzi3JnqEaJ7W2</v>
          </cell>
          <cell r="C193">
            <v>171177780</v>
          </cell>
          <cell r="D193" t="str">
            <v>ប៉ោ វណ្ណះ ១</v>
          </cell>
          <cell r="E193">
            <v>1274600</v>
          </cell>
          <cell r="F193">
            <v>70</v>
          </cell>
          <cell r="G193">
            <v>171116159</v>
          </cell>
          <cell r="H193">
            <v>79600</v>
          </cell>
          <cell r="I193">
            <v>1000</v>
          </cell>
          <cell r="J193">
            <v>796</v>
          </cell>
          <cell r="K193">
            <v>1194000</v>
          </cell>
        </row>
        <row r="194">
          <cell r="A194" t="str">
            <v>22-224</v>
          </cell>
          <cell r="B194" t="str">
            <v>zuqEKwQyCRad2QvsQ</v>
          </cell>
          <cell r="C194">
            <v>171177934</v>
          </cell>
          <cell r="D194" t="str">
            <v>ប៉ោ វណ្ណះ</v>
          </cell>
          <cell r="E194">
            <v>3972200</v>
          </cell>
          <cell r="F194">
            <v>224</v>
          </cell>
          <cell r="G194">
            <v>171116993</v>
          </cell>
          <cell r="H194">
            <v>248200</v>
          </cell>
          <cell r="I194">
            <v>1000</v>
          </cell>
          <cell r="J194">
            <v>2482</v>
          </cell>
          <cell r="K194">
            <v>3723000</v>
          </cell>
        </row>
        <row r="195">
          <cell r="A195" t="str">
            <v>22-161</v>
          </cell>
          <cell r="B195" t="str">
            <v>qZarpJiCEig256p9E</v>
          </cell>
          <cell r="C195">
            <v>171177871</v>
          </cell>
          <cell r="D195" t="str">
            <v>ប៉ា សុជាតិវង្ស</v>
          </cell>
          <cell r="E195">
            <v>183400</v>
          </cell>
          <cell r="F195">
            <v>161</v>
          </cell>
          <cell r="G195">
            <v>171116936</v>
          </cell>
          <cell r="H195">
            <v>11400</v>
          </cell>
          <cell r="I195">
            <v>1000</v>
          </cell>
          <cell r="J195">
            <v>114</v>
          </cell>
          <cell r="K195">
            <v>171000</v>
          </cell>
        </row>
        <row r="196">
          <cell r="A196" t="str">
            <v>22-103</v>
          </cell>
          <cell r="B196" t="str">
            <v>G8Xqri7MTqhYN6W4w</v>
          </cell>
          <cell r="C196">
            <v>171177813</v>
          </cell>
          <cell r="D196" t="str">
            <v>សណ្នាគារ ជយ័ជំនៈ</v>
          </cell>
          <cell r="E196">
            <v>404200</v>
          </cell>
          <cell r="F196">
            <v>103</v>
          </cell>
          <cell r="G196">
            <v>171116189</v>
          </cell>
          <cell r="H196">
            <v>25200</v>
          </cell>
          <cell r="I196">
            <v>1000</v>
          </cell>
          <cell r="J196">
            <v>252</v>
          </cell>
          <cell r="K196">
            <v>378000</v>
          </cell>
        </row>
        <row r="197">
          <cell r="A197" t="str">
            <v>22-011</v>
          </cell>
          <cell r="B197" t="str">
            <v>r3EqPmLKz8AbpGNZm</v>
          </cell>
          <cell r="C197">
            <v>171177721</v>
          </cell>
          <cell r="D197" t="str">
            <v>ផ្ទះ.សំណាក់មនោរម្យ</v>
          </cell>
          <cell r="E197">
            <v>351400</v>
          </cell>
          <cell r="F197">
            <v>11</v>
          </cell>
          <cell r="G197">
            <v>171116103</v>
          </cell>
          <cell r="H197">
            <v>21900</v>
          </cell>
          <cell r="I197">
            <v>1000</v>
          </cell>
          <cell r="J197">
            <v>219</v>
          </cell>
          <cell r="K197">
            <v>328500</v>
          </cell>
        </row>
        <row r="198">
          <cell r="A198" t="str">
            <v>22-287</v>
          </cell>
          <cell r="B198" t="str">
            <v>oo8JzKieXJs7C9eaP</v>
          </cell>
          <cell r="C198">
            <v>171177997</v>
          </cell>
          <cell r="D198" t="str">
            <v>ហ៊ាង រ៉ាវុធ</v>
          </cell>
          <cell r="E198">
            <v>138600</v>
          </cell>
          <cell r="F198">
            <v>287</v>
          </cell>
          <cell r="G198">
            <v>171117051</v>
          </cell>
          <cell r="H198">
            <v>8600</v>
          </cell>
          <cell r="I198">
            <v>1000</v>
          </cell>
          <cell r="J198">
            <v>86</v>
          </cell>
          <cell r="K198">
            <v>129000</v>
          </cell>
        </row>
        <row r="199">
          <cell r="A199" t="str">
            <v>22-141</v>
          </cell>
          <cell r="B199" t="str">
            <v>PhMj8rBokaB32wRYH</v>
          </cell>
          <cell r="C199">
            <v>171177851</v>
          </cell>
          <cell r="D199" t="str">
            <v>ស៊ិន ហួរ</v>
          </cell>
          <cell r="E199">
            <v>396200</v>
          </cell>
          <cell r="F199">
            <v>141</v>
          </cell>
          <cell r="G199">
            <v>171116916</v>
          </cell>
          <cell r="H199">
            <v>24700</v>
          </cell>
          <cell r="I199">
            <v>1000</v>
          </cell>
          <cell r="J199">
            <v>247</v>
          </cell>
          <cell r="K199">
            <v>370500</v>
          </cell>
        </row>
        <row r="200">
          <cell r="A200" t="str">
            <v>22-212</v>
          </cell>
          <cell r="B200" t="str">
            <v>xuCce9Thryryt4pwR</v>
          </cell>
          <cell r="C200">
            <v>171177922</v>
          </cell>
          <cell r="D200" t="str">
            <v>ណាំ ទុំ (រ៉ាក់ )</v>
          </cell>
          <cell r="E200">
            <v>250600</v>
          </cell>
          <cell r="F200">
            <v>212</v>
          </cell>
          <cell r="G200">
            <v>171116981</v>
          </cell>
          <cell r="H200">
            <v>15600</v>
          </cell>
          <cell r="I200">
            <v>1000</v>
          </cell>
          <cell r="J200">
            <v>156</v>
          </cell>
          <cell r="K200">
            <v>234000</v>
          </cell>
        </row>
        <row r="201">
          <cell r="A201" t="str">
            <v>22-077</v>
          </cell>
          <cell r="B201" t="str">
            <v>jGvqr9hYxNoAJMS55</v>
          </cell>
          <cell r="C201">
            <v>171177787</v>
          </cell>
          <cell r="D201" t="str">
            <v>ជឹម ពៅ</v>
          </cell>
          <cell r="E201">
            <v>1045800</v>
          </cell>
          <cell r="F201">
            <v>77</v>
          </cell>
          <cell r="G201">
            <v>171116166</v>
          </cell>
          <cell r="H201">
            <v>65300</v>
          </cell>
          <cell r="I201">
            <v>1000</v>
          </cell>
          <cell r="J201">
            <v>653</v>
          </cell>
          <cell r="K201">
            <v>979500</v>
          </cell>
        </row>
        <row r="202">
          <cell r="A202" t="str">
            <v>22-273</v>
          </cell>
          <cell r="B202" t="str">
            <v>LWrK2u7jPWYkzNgzM</v>
          </cell>
          <cell r="C202">
            <v>171177983</v>
          </cell>
          <cell r="D202" t="str">
            <v>វ៉ាន់ ណារ៉េត</v>
          </cell>
          <cell r="E202">
            <v>129000</v>
          </cell>
          <cell r="F202">
            <v>273</v>
          </cell>
          <cell r="G202">
            <v>171117038</v>
          </cell>
          <cell r="H202">
            <v>8000</v>
          </cell>
          <cell r="I202">
            <v>1000</v>
          </cell>
          <cell r="J202">
            <v>80</v>
          </cell>
          <cell r="K202">
            <v>120000</v>
          </cell>
        </row>
        <row r="203">
          <cell r="A203" t="str">
            <v>22-238</v>
          </cell>
          <cell r="B203" t="str">
            <v>swyMHoQqcD89dy8L3</v>
          </cell>
          <cell r="C203">
            <v>171177948</v>
          </cell>
          <cell r="D203" t="str">
            <v>ហម សាម៉ុន</v>
          </cell>
          <cell r="E203">
            <v>290600</v>
          </cell>
          <cell r="F203">
            <v>238</v>
          </cell>
          <cell r="G203">
            <v>171117004</v>
          </cell>
          <cell r="H203">
            <v>18100</v>
          </cell>
          <cell r="I203">
            <v>1000</v>
          </cell>
          <cell r="J203">
            <v>181</v>
          </cell>
          <cell r="K203">
            <v>271500</v>
          </cell>
        </row>
        <row r="204">
          <cell r="A204" t="str">
            <v>22-209</v>
          </cell>
          <cell r="B204" t="str">
            <v>wd3i8tSR9nTNCpjAX</v>
          </cell>
          <cell r="C204">
            <v>171177919</v>
          </cell>
          <cell r="D204" t="str">
            <v>អ៊ឹង គឹមលី</v>
          </cell>
          <cell r="E204">
            <v>26600</v>
          </cell>
          <cell r="F204">
            <v>209</v>
          </cell>
          <cell r="G204">
            <v>171116978</v>
          </cell>
          <cell r="H204">
            <v>1600</v>
          </cell>
          <cell r="I204">
            <v>1000</v>
          </cell>
          <cell r="J204">
            <v>16</v>
          </cell>
          <cell r="K204">
            <v>24000</v>
          </cell>
        </row>
        <row r="205">
          <cell r="A205" t="str">
            <v>22-250</v>
          </cell>
          <cell r="B205" t="str">
            <v>uKZhemijQASjzoKBd</v>
          </cell>
          <cell r="C205">
            <v>171177960</v>
          </cell>
          <cell r="D205" t="str">
            <v>ហួន ហេង</v>
          </cell>
          <cell r="E205">
            <v>897000</v>
          </cell>
          <cell r="F205">
            <v>250</v>
          </cell>
          <cell r="G205">
            <v>171117016</v>
          </cell>
          <cell r="H205">
            <v>56000</v>
          </cell>
          <cell r="I205">
            <v>1000</v>
          </cell>
          <cell r="J205">
            <v>560</v>
          </cell>
          <cell r="K205">
            <v>840000</v>
          </cell>
        </row>
        <row r="206">
          <cell r="A206" t="str">
            <v>22-049</v>
          </cell>
          <cell r="B206" t="str">
            <v>xjNjpamAoqqHnvXSa</v>
          </cell>
          <cell r="C206">
            <v>171177759</v>
          </cell>
          <cell r="D206" t="str">
            <v>ជឹម ចំណាន(ឥន្ទ្រីយ៍មាស)</v>
          </cell>
          <cell r="E206">
            <v>986600</v>
          </cell>
          <cell r="F206">
            <v>49</v>
          </cell>
          <cell r="G206">
            <v>171116140</v>
          </cell>
          <cell r="H206">
            <v>61600</v>
          </cell>
          <cell r="I206">
            <v>1000</v>
          </cell>
          <cell r="J206">
            <v>616</v>
          </cell>
          <cell r="K206">
            <v>924000</v>
          </cell>
        </row>
        <row r="207">
          <cell r="A207" t="str">
            <v>22-076</v>
          </cell>
          <cell r="B207" t="str">
            <v>EWCXnqoWPPyph5Tcq</v>
          </cell>
          <cell r="C207">
            <v>171177786</v>
          </cell>
          <cell r="D207" t="str">
            <v>ហួន ហៀង ភោជនីយដ្ឋានអាស៊ានបៀរ</v>
          </cell>
          <cell r="E207">
            <v>676200</v>
          </cell>
          <cell r="F207">
            <v>76</v>
          </cell>
          <cell r="G207">
            <v>171116165</v>
          </cell>
          <cell r="H207">
            <v>42200</v>
          </cell>
          <cell r="I207">
            <v>1000</v>
          </cell>
          <cell r="J207">
            <v>422</v>
          </cell>
          <cell r="K207">
            <v>633000</v>
          </cell>
        </row>
        <row r="208">
          <cell r="A208" t="str">
            <v>22-114</v>
          </cell>
          <cell r="B208" t="str">
            <v>3Tinigr6s27ZJxiGo</v>
          </cell>
          <cell r="C208">
            <v>171177824</v>
          </cell>
          <cell r="D208" t="str">
            <v>អ៊ី ផេង</v>
          </cell>
          <cell r="E208">
            <v>82600</v>
          </cell>
          <cell r="F208">
            <v>114</v>
          </cell>
          <cell r="G208">
            <v>171116200</v>
          </cell>
          <cell r="H208">
            <v>5100</v>
          </cell>
          <cell r="I208">
            <v>1000</v>
          </cell>
          <cell r="J208">
            <v>51</v>
          </cell>
          <cell r="K208">
            <v>76500</v>
          </cell>
        </row>
        <row r="209">
          <cell r="A209" t="str">
            <v>22-294</v>
          </cell>
          <cell r="B209" t="str">
            <v>Hx2tb5GFLY8c6w33P</v>
          </cell>
          <cell r="C209">
            <v>171178004</v>
          </cell>
          <cell r="D209" t="str">
            <v>ទឹម វណ្ណា</v>
          </cell>
          <cell r="E209">
            <v>172200</v>
          </cell>
          <cell r="F209">
            <v>294</v>
          </cell>
          <cell r="G209">
            <v>171117057</v>
          </cell>
          <cell r="H209">
            <v>10700</v>
          </cell>
          <cell r="I209">
            <v>1000</v>
          </cell>
          <cell r="J209">
            <v>107</v>
          </cell>
          <cell r="K209">
            <v>160500</v>
          </cell>
        </row>
        <row r="210">
          <cell r="A210" t="str">
            <v>22-262</v>
          </cell>
          <cell r="B210" t="str">
            <v>JgtK7yBeivcw5SHoB</v>
          </cell>
          <cell r="C210">
            <v>171177972</v>
          </cell>
          <cell r="D210" t="str">
            <v>ងួន ពន្លក</v>
          </cell>
          <cell r="E210">
            <v>65000</v>
          </cell>
          <cell r="F210">
            <v>262</v>
          </cell>
          <cell r="G210">
            <v>171117028</v>
          </cell>
          <cell r="H210">
            <v>4000</v>
          </cell>
          <cell r="I210">
            <v>1000</v>
          </cell>
          <cell r="J210">
            <v>40</v>
          </cell>
          <cell r="K210">
            <v>60000</v>
          </cell>
        </row>
        <row r="211">
          <cell r="A211" t="str">
            <v>22-165</v>
          </cell>
          <cell r="B211" t="str">
            <v>zqycTWnr6zhr2udp9</v>
          </cell>
          <cell r="C211">
            <v>171177875</v>
          </cell>
          <cell r="D211" t="str">
            <v>ឡូ សុផល</v>
          </cell>
          <cell r="E211">
            <v>42600</v>
          </cell>
          <cell r="F211">
            <v>165</v>
          </cell>
          <cell r="G211">
            <v>171116939</v>
          </cell>
          <cell r="H211">
            <v>2600</v>
          </cell>
          <cell r="I211">
            <v>1000</v>
          </cell>
          <cell r="J211">
            <v>26</v>
          </cell>
          <cell r="K211">
            <v>39000</v>
          </cell>
        </row>
        <row r="212">
          <cell r="A212" t="str">
            <v>22-300</v>
          </cell>
          <cell r="B212" t="str">
            <v>JwyAajkiov7Yfx7sa</v>
          </cell>
          <cell r="C212">
            <v>171178010</v>
          </cell>
          <cell r="D212" t="str">
            <v>ពុំ ពេជ្រ</v>
          </cell>
          <cell r="E212">
            <v>236200</v>
          </cell>
          <cell r="F212">
            <v>300</v>
          </cell>
          <cell r="H212">
            <v>14700</v>
          </cell>
          <cell r="I212">
            <v>1000</v>
          </cell>
          <cell r="J212">
            <v>147</v>
          </cell>
          <cell r="K212">
            <v>220500</v>
          </cell>
        </row>
        <row r="213">
          <cell r="A213" t="str">
            <v>22-222</v>
          </cell>
          <cell r="B213" t="str">
            <v>9FteTie7C3mer2qTK</v>
          </cell>
          <cell r="C213">
            <v>171177932</v>
          </cell>
          <cell r="D213" t="str">
            <v>រាត្រីស្ទឹងសង្គែ</v>
          </cell>
          <cell r="E213">
            <v>410600</v>
          </cell>
          <cell r="F213">
            <v>222</v>
          </cell>
          <cell r="G213">
            <v>171116991</v>
          </cell>
          <cell r="H213">
            <v>25600</v>
          </cell>
          <cell r="I213">
            <v>1000</v>
          </cell>
          <cell r="J213">
            <v>256</v>
          </cell>
          <cell r="K213">
            <v>384000</v>
          </cell>
        </row>
        <row r="214">
          <cell r="A214" t="str">
            <v>22-239</v>
          </cell>
          <cell r="B214" t="str">
            <v>qd65rrkxSQmvvXduH</v>
          </cell>
          <cell r="C214">
            <v>171178320</v>
          </cell>
          <cell r="D214" t="str">
            <v>បង្គន់អនាម័យសាធារណះ</v>
          </cell>
          <cell r="E214">
            <v>1330600</v>
          </cell>
          <cell r="F214">
            <v>239</v>
          </cell>
          <cell r="G214">
            <v>171117005</v>
          </cell>
          <cell r="H214">
            <v>83100</v>
          </cell>
          <cell r="I214">
            <v>1000</v>
          </cell>
          <cell r="J214">
            <v>831</v>
          </cell>
          <cell r="K214">
            <v>1246500</v>
          </cell>
        </row>
        <row r="215">
          <cell r="A215" t="str">
            <v>22-099</v>
          </cell>
          <cell r="B215" t="str">
            <v>zrE9HTD2Qk3kPim8Q</v>
          </cell>
          <cell r="C215">
            <v>171177809</v>
          </cell>
          <cell r="D215" t="str">
            <v>ជ្រិន ញ៉</v>
          </cell>
          <cell r="E215">
            <v>353000</v>
          </cell>
          <cell r="F215">
            <v>99</v>
          </cell>
          <cell r="G215">
            <v>171116185</v>
          </cell>
          <cell r="H215">
            <v>22000</v>
          </cell>
          <cell r="I215">
            <v>1000</v>
          </cell>
          <cell r="J215">
            <v>220</v>
          </cell>
          <cell r="K215">
            <v>330000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28"/>
  <sheetViews>
    <sheetView tabSelected="1" zoomScaleNormal="100" workbookViewId="0">
      <selection activeCell="I6" sqref="A1:L228"/>
    </sheetView>
  </sheetViews>
  <sheetFormatPr defaultRowHeight="12.3"/>
  <cols>
    <col min="1" max="1" width="19.21875"/>
    <col min="2" max="2" width="10.33203125"/>
    <col min="3" max="3" width="28.5"/>
    <col min="4" max="4" width="11.1640625"/>
    <col min="5" max="5" width="6.1640625"/>
    <col min="6" max="6" width="8.38671875"/>
    <col min="7" max="7" width="11.1640625"/>
    <col min="8" max="8" width="17.6640625"/>
    <col min="9" max="9" width="18.38671875"/>
    <col min="10" max="10" width="20.1640625"/>
    <col min="11" max="11" width="14.77734375"/>
    <col min="12" max="12" width="17.33203125" customWidth="1"/>
    <col min="13" max="1025" width="11.5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2">
      <c r="A2" t="s">
        <v>11</v>
      </c>
      <c r="B2">
        <v>171177926</v>
      </c>
      <c r="C2" s="1" t="s">
        <v>12</v>
      </c>
      <c r="D2">
        <v>525800</v>
      </c>
      <c r="E2" t="s">
        <v>13</v>
      </c>
      <c r="F2">
        <v>216</v>
      </c>
      <c r="G2">
        <v>171116985</v>
      </c>
      <c r="H2">
        <v>32800</v>
      </c>
      <c r="I2">
        <v>1000</v>
      </c>
      <c r="J2">
        <v>328</v>
      </c>
      <c r="K2">
        <v>492000</v>
      </c>
      <c r="L2" t="str">
        <f>VLOOKUP(E2,Sheet1!A1:I62,1,0)</f>
        <v>22-216</v>
      </c>
    </row>
    <row r="3" spans="1:12">
      <c r="A3" t="s">
        <v>14</v>
      </c>
      <c r="B3">
        <v>171177882</v>
      </c>
      <c r="C3" s="1" t="s">
        <v>15</v>
      </c>
      <c r="D3">
        <v>162600</v>
      </c>
      <c r="E3" t="s">
        <v>16</v>
      </c>
      <c r="F3">
        <v>172</v>
      </c>
      <c r="G3">
        <v>171116945</v>
      </c>
      <c r="H3">
        <v>10100</v>
      </c>
      <c r="I3">
        <v>1000</v>
      </c>
      <c r="J3">
        <v>101</v>
      </c>
      <c r="K3">
        <v>151500</v>
      </c>
      <c r="L3" t="str">
        <f>VLOOKUP(E3,Sheet1!A2:I63,1,0)</f>
        <v>22-172</v>
      </c>
    </row>
    <row r="4" spans="1:12">
      <c r="A4" t="s">
        <v>17</v>
      </c>
      <c r="B4">
        <v>171177751</v>
      </c>
      <c r="C4" s="1" t="s">
        <v>18</v>
      </c>
      <c r="D4">
        <v>164200</v>
      </c>
      <c r="E4" t="s">
        <v>19</v>
      </c>
      <c r="F4">
        <v>41</v>
      </c>
      <c r="G4">
        <v>171116132</v>
      </c>
      <c r="H4">
        <v>10200</v>
      </c>
      <c r="I4">
        <v>1000</v>
      </c>
      <c r="J4">
        <v>102</v>
      </c>
      <c r="K4">
        <v>153000</v>
      </c>
      <c r="L4" t="str">
        <f>VLOOKUP(E4,Sheet1!A3:I64,1,0)</f>
        <v>22-041</v>
      </c>
    </row>
    <row r="5" spans="1:12">
      <c r="A5" t="s">
        <v>20</v>
      </c>
      <c r="B5">
        <v>171177758</v>
      </c>
      <c r="C5" s="1" t="s">
        <v>21</v>
      </c>
      <c r="D5">
        <v>325800</v>
      </c>
      <c r="E5" t="s">
        <v>22</v>
      </c>
      <c r="F5">
        <v>48</v>
      </c>
      <c r="G5">
        <v>171116139</v>
      </c>
      <c r="H5">
        <v>20300</v>
      </c>
      <c r="I5">
        <v>1000</v>
      </c>
      <c r="J5">
        <v>203</v>
      </c>
      <c r="K5">
        <v>304500</v>
      </c>
      <c r="L5" t="str">
        <f>VLOOKUP(E5,Sheet1!A4:I65,1,0)</f>
        <v>22-048</v>
      </c>
    </row>
    <row r="6" spans="1:12">
      <c r="A6" t="s">
        <v>23</v>
      </c>
      <c r="B6">
        <v>171177734</v>
      </c>
      <c r="C6" s="1" t="s">
        <v>24</v>
      </c>
      <c r="D6">
        <v>317800</v>
      </c>
      <c r="E6" t="s">
        <v>25</v>
      </c>
      <c r="F6">
        <v>24</v>
      </c>
      <c r="G6">
        <v>171116115</v>
      </c>
      <c r="H6">
        <v>19800</v>
      </c>
      <c r="I6">
        <v>1000</v>
      </c>
      <c r="J6">
        <v>198</v>
      </c>
      <c r="K6">
        <v>297000</v>
      </c>
      <c r="L6" t="str">
        <f>VLOOKUP(E6,Sheet1!A5:I66,1,0)</f>
        <v>22-024</v>
      </c>
    </row>
    <row r="7" spans="1:12">
      <c r="A7" t="s">
        <v>26</v>
      </c>
      <c r="B7">
        <v>171177840</v>
      </c>
      <c r="C7" s="1" t="s">
        <v>27</v>
      </c>
      <c r="D7">
        <v>509800</v>
      </c>
      <c r="E7" t="s">
        <v>28</v>
      </c>
      <c r="F7">
        <v>130</v>
      </c>
      <c r="G7">
        <v>171116215</v>
      </c>
      <c r="H7">
        <v>31800</v>
      </c>
      <c r="I7">
        <v>1000</v>
      </c>
      <c r="J7">
        <v>318</v>
      </c>
      <c r="K7">
        <v>477000</v>
      </c>
      <c r="L7" t="str">
        <f>VLOOKUP(E7,Sheet1!A6:I67,1,0)</f>
        <v>22-130</v>
      </c>
    </row>
    <row r="8" spans="1:12">
      <c r="A8" t="s">
        <v>29</v>
      </c>
      <c r="B8">
        <v>171177839</v>
      </c>
      <c r="C8" s="1" t="s">
        <v>30</v>
      </c>
      <c r="D8">
        <v>613800</v>
      </c>
      <c r="E8" t="s">
        <v>31</v>
      </c>
      <c r="F8">
        <v>129</v>
      </c>
      <c r="G8">
        <v>171116214</v>
      </c>
      <c r="H8">
        <v>38300</v>
      </c>
      <c r="I8">
        <v>1000</v>
      </c>
      <c r="J8">
        <v>383</v>
      </c>
      <c r="K8">
        <v>574500</v>
      </c>
      <c r="L8" t="str">
        <f>VLOOKUP(E8,Sheet1!A7:I68,1,0)</f>
        <v>22-129</v>
      </c>
    </row>
    <row r="9" spans="1:12">
      <c r="A9" t="s">
        <v>32</v>
      </c>
      <c r="B9">
        <v>171177838</v>
      </c>
      <c r="C9" s="1" t="s">
        <v>33</v>
      </c>
      <c r="D9">
        <v>327400</v>
      </c>
      <c r="E9" t="s">
        <v>34</v>
      </c>
      <c r="F9">
        <v>128</v>
      </c>
      <c r="G9">
        <v>171116213</v>
      </c>
      <c r="H9">
        <v>20400</v>
      </c>
      <c r="I9">
        <v>1000</v>
      </c>
      <c r="J9">
        <v>204</v>
      </c>
      <c r="K9">
        <v>306000</v>
      </c>
      <c r="L9" t="str">
        <f>VLOOKUP(E9,Sheet1!A8:I69,1,0)</f>
        <v>22-128</v>
      </c>
    </row>
    <row r="10" spans="1:12">
      <c r="A10" t="s">
        <v>35</v>
      </c>
      <c r="B10">
        <v>171177735</v>
      </c>
      <c r="C10" s="1" t="s">
        <v>36</v>
      </c>
      <c r="D10">
        <v>986600</v>
      </c>
      <c r="E10" t="s">
        <v>37</v>
      </c>
      <c r="F10">
        <v>25</v>
      </c>
      <c r="G10">
        <v>171116116</v>
      </c>
      <c r="H10">
        <v>61600</v>
      </c>
      <c r="I10">
        <v>1000</v>
      </c>
      <c r="J10">
        <v>616</v>
      </c>
      <c r="K10">
        <v>924000</v>
      </c>
      <c r="L10" t="str">
        <f>VLOOKUP(E10,Sheet1!A9:I70,1,0)</f>
        <v>22-025</v>
      </c>
    </row>
    <row r="11" spans="1:12">
      <c r="A11" t="s">
        <v>38</v>
      </c>
      <c r="B11">
        <v>171177803</v>
      </c>
      <c r="C11" s="1" t="s">
        <v>39</v>
      </c>
      <c r="D11">
        <v>1333800</v>
      </c>
      <c r="E11" t="s">
        <v>40</v>
      </c>
      <c r="F11">
        <v>93</v>
      </c>
      <c r="G11">
        <v>171116180</v>
      </c>
      <c r="H11">
        <v>83300</v>
      </c>
      <c r="I11">
        <v>1000</v>
      </c>
      <c r="J11">
        <v>833</v>
      </c>
      <c r="K11">
        <v>1249500</v>
      </c>
      <c r="L11" t="str">
        <f>VLOOKUP(E11,Sheet1!A10:I71,1,0)</f>
        <v>22-093</v>
      </c>
    </row>
    <row r="12" spans="1:12">
      <c r="A12" t="s">
        <v>41</v>
      </c>
      <c r="B12">
        <v>171177714</v>
      </c>
      <c r="C12" s="1" t="s">
        <v>42</v>
      </c>
      <c r="D12">
        <v>217000</v>
      </c>
      <c r="E12" t="s">
        <v>43</v>
      </c>
      <c r="F12">
        <v>4</v>
      </c>
      <c r="G12">
        <v>171116097</v>
      </c>
      <c r="H12">
        <v>13500</v>
      </c>
      <c r="I12">
        <v>1000</v>
      </c>
      <c r="J12">
        <v>135</v>
      </c>
      <c r="K12">
        <v>202500</v>
      </c>
      <c r="L12" t="str">
        <f>VLOOKUP(E12,Sheet1!A11:I72,1,0)</f>
        <v>22-004</v>
      </c>
    </row>
    <row r="13" spans="1:12">
      <c r="A13" t="s">
        <v>44</v>
      </c>
      <c r="B13">
        <v>171177715</v>
      </c>
      <c r="C13" s="1" t="s">
        <v>42</v>
      </c>
      <c r="D13">
        <v>245800</v>
      </c>
      <c r="E13" t="s">
        <v>45</v>
      </c>
      <c r="F13">
        <v>5</v>
      </c>
      <c r="G13">
        <v>171116098</v>
      </c>
      <c r="H13">
        <v>15300</v>
      </c>
      <c r="I13">
        <v>1000</v>
      </c>
      <c r="J13">
        <v>153</v>
      </c>
      <c r="K13">
        <v>229500</v>
      </c>
      <c r="L13" t="str">
        <f>VLOOKUP(E13,Sheet1!A12:I73,1,0)</f>
        <v>22-005</v>
      </c>
    </row>
    <row r="14" spans="1:12">
      <c r="A14" t="s">
        <v>46</v>
      </c>
      <c r="B14">
        <v>171177878</v>
      </c>
      <c r="C14" s="1" t="s">
        <v>47</v>
      </c>
      <c r="D14">
        <v>106600</v>
      </c>
      <c r="E14" t="s">
        <v>48</v>
      </c>
      <c r="F14">
        <v>168</v>
      </c>
      <c r="G14">
        <v>171116942</v>
      </c>
      <c r="H14">
        <v>6600</v>
      </c>
      <c r="I14">
        <v>1000</v>
      </c>
      <c r="J14">
        <v>66</v>
      </c>
      <c r="K14">
        <v>99000</v>
      </c>
      <c r="L14" t="str">
        <f>VLOOKUP(E14,Sheet1!A13:I74,1,0)</f>
        <v>22-168</v>
      </c>
    </row>
    <row r="15" spans="1:12">
      <c r="A15" t="s">
        <v>49</v>
      </c>
      <c r="B15">
        <v>171177988</v>
      </c>
      <c r="C15" s="1" t="s">
        <v>50</v>
      </c>
      <c r="D15">
        <v>612200</v>
      </c>
      <c r="E15" t="s">
        <v>51</v>
      </c>
      <c r="F15">
        <v>278</v>
      </c>
      <c r="G15">
        <v>171117043</v>
      </c>
      <c r="H15">
        <v>38200</v>
      </c>
      <c r="I15">
        <v>1000</v>
      </c>
      <c r="J15">
        <v>382</v>
      </c>
      <c r="K15">
        <v>573000</v>
      </c>
      <c r="L15" t="str">
        <f>VLOOKUP(E15,Sheet1!A14:I75,1,0)</f>
        <v>22-278</v>
      </c>
    </row>
    <row r="16" spans="1:12">
      <c r="A16" t="s">
        <v>52</v>
      </c>
      <c r="B16">
        <v>171177870</v>
      </c>
      <c r="C16" s="1" t="s">
        <v>53</v>
      </c>
      <c r="D16">
        <v>97000</v>
      </c>
      <c r="E16" t="s">
        <v>54</v>
      </c>
      <c r="F16">
        <v>160</v>
      </c>
      <c r="G16">
        <v>171116935</v>
      </c>
      <c r="H16">
        <v>6000</v>
      </c>
      <c r="I16">
        <v>1000</v>
      </c>
      <c r="J16">
        <v>60</v>
      </c>
      <c r="K16">
        <v>90000</v>
      </c>
      <c r="L16" t="str">
        <f>VLOOKUP(E16,Sheet1!A15:I76,1,0)</f>
        <v>22-160</v>
      </c>
    </row>
    <row r="17" spans="1:12">
      <c r="A17" t="s">
        <v>55</v>
      </c>
      <c r="B17">
        <v>171177957</v>
      </c>
      <c r="C17" s="1" t="s">
        <v>56</v>
      </c>
      <c r="D17">
        <v>84200</v>
      </c>
      <c r="E17" t="s">
        <v>57</v>
      </c>
      <c r="F17">
        <v>247</v>
      </c>
      <c r="G17">
        <v>171117013</v>
      </c>
      <c r="H17">
        <v>5200</v>
      </c>
      <c r="I17">
        <v>1000</v>
      </c>
      <c r="J17">
        <v>52</v>
      </c>
      <c r="K17">
        <v>78000</v>
      </c>
      <c r="L17" t="str">
        <f>VLOOKUP(E17,Sheet1!A16:I77,1,0)</f>
        <v>22-247</v>
      </c>
    </row>
    <row r="18" spans="1:12">
      <c r="A18" t="s">
        <v>58</v>
      </c>
      <c r="B18">
        <v>171177904</v>
      </c>
      <c r="C18" s="1" t="s">
        <v>59</v>
      </c>
      <c r="D18">
        <v>63400</v>
      </c>
      <c r="E18" t="s">
        <v>60</v>
      </c>
      <c r="F18">
        <v>194</v>
      </c>
      <c r="G18">
        <v>171116965</v>
      </c>
      <c r="H18">
        <v>3900</v>
      </c>
      <c r="I18">
        <v>1000</v>
      </c>
      <c r="J18">
        <v>39</v>
      </c>
      <c r="K18">
        <v>58500</v>
      </c>
      <c r="L18" t="str">
        <f>VLOOKUP(E18,Sheet1!A17:I78,1,0)</f>
        <v>22-194</v>
      </c>
    </row>
    <row r="19" spans="1:12">
      <c r="A19" t="s">
        <v>61</v>
      </c>
      <c r="B19">
        <v>171177749</v>
      </c>
      <c r="C19" s="1" t="s">
        <v>62</v>
      </c>
      <c r="D19">
        <v>23400</v>
      </c>
      <c r="E19" t="s">
        <v>63</v>
      </c>
      <c r="F19">
        <v>39</v>
      </c>
      <c r="G19">
        <v>171116130</v>
      </c>
      <c r="H19">
        <v>1400</v>
      </c>
      <c r="I19">
        <v>1000</v>
      </c>
      <c r="J19">
        <v>14</v>
      </c>
      <c r="K19">
        <v>21000</v>
      </c>
      <c r="L19" t="str">
        <f>VLOOKUP(E19,Sheet1!A18:I79,1,0)</f>
        <v>22-039</v>
      </c>
    </row>
    <row r="20" spans="1:12">
      <c r="A20" t="s">
        <v>64</v>
      </c>
      <c r="B20">
        <v>171177760</v>
      </c>
      <c r="C20" s="1" t="s">
        <v>65</v>
      </c>
      <c r="D20">
        <v>82600</v>
      </c>
      <c r="E20" t="s">
        <v>66</v>
      </c>
      <c r="F20">
        <v>50</v>
      </c>
      <c r="G20">
        <v>171116141</v>
      </c>
      <c r="H20">
        <v>5100</v>
      </c>
      <c r="I20">
        <v>1000</v>
      </c>
      <c r="J20">
        <v>51</v>
      </c>
      <c r="K20">
        <v>76500</v>
      </c>
      <c r="L20" t="str">
        <f>VLOOKUP(E20,Sheet1!A19:I80,1,0)</f>
        <v>22-050</v>
      </c>
    </row>
    <row r="21" spans="1:12">
      <c r="A21" t="s">
        <v>67</v>
      </c>
      <c r="B21">
        <v>171177769</v>
      </c>
      <c r="C21" s="1" t="s">
        <v>68</v>
      </c>
      <c r="D21">
        <v>394600</v>
      </c>
      <c r="E21" t="s">
        <v>69</v>
      </c>
      <c r="F21">
        <v>59</v>
      </c>
      <c r="G21">
        <v>171116149</v>
      </c>
      <c r="H21">
        <v>24600</v>
      </c>
      <c r="I21">
        <v>1000</v>
      </c>
      <c r="J21">
        <v>246</v>
      </c>
      <c r="K21">
        <v>369000</v>
      </c>
      <c r="L21" t="str">
        <f>VLOOKUP(E21,Sheet1!A20:I81,1,0)</f>
        <v>22-059</v>
      </c>
    </row>
    <row r="22" spans="1:12">
      <c r="A22" t="s">
        <v>70</v>
      </c>
      <c r="B22">
        <v>171177740</v>
      </c>
      <c r="C22" s="1" t="s">
        <v>71</v>
      </c>
      <c r="D22">
        <v>364200</v>
      </c>
      <c r="E22" t="s">
        <v>72</v>
      </c>
      <c r="F22">
        <v>30</v>
      </c>
      <c r="G22">
        <v>171116121</v>
      </c>
      <c r="H22">
        <v>22700</v>
      </c>
      <c r="I22">
        <v>1000</v>
      </c>
      <c r="J22">
        <v>227</v>
      </c>
      <c r="K22">
        <v>340500</v>
      </c>
      <c r="L22" t="str">
        <f>VLOOKUP(E22,Sheet1!A21:I82,1,0)</f>
        <v>22-030</v>
      </c>
    </row>
    <row r="23" spans="1:12">
      <c r="A23" t="s">
        <v>73</v>
      </c>
      <c r="B23">
        <v>171177748</v>
      </c>
      <c r="C23" s="1" t="s">
        <v>74</v>
      </c>
      <c r="D23">
        <v>63400</v>
      </c>
      <c r="E23" t="s">
        <v>75</v>
      </c>
      <c r="F23">
        <v>38</v>
      </c>
      <c r="G23">
        <v>171116129</v>
      </c>
      <c r="H23">
        <v>3900</v>
      </c>
      <c r="I23">
        <v>1000</v>
      </c>
      <c r="J23">
        <v>39</v>
      </c>
      <c r="K23">
        <v>58500</v>
      </c>
      <c r="L23" t="str">
        <f>VLOOKUP(E23,Sheet1!A22:I83,1,0)</f>
        <v>22-038</v>
      </c>
    </row>
    <row r="24" spans="1:12">
      <c r="A24" t="s">
        <v>76</v>
      </c>
      <c r="B24">
        <v>171177961</v>
      </c>
      <c r="C24" s="1" t="s">
        <v>77</v>
      </c>
      <c r="D24">
        <v>28200</v>
      </c>
      <c r="E24" t="s">
        <v>78</v>
      </c>
      <c r="F24">
        <v>251</v>
      </c>
      <c r="G24">
        <v>171117017</v>
      </c>
      <c r="H24">
        <v>1700</v>
      </c>
      <c r="I24">
        <v>1000</v>
      </c>
      <c r="J24">
        <v>17</v>
      </c>
      <c r="K24">
        <v>25500</v>
      </c>
      <c r="L24" t="str">
        <f>VLOOKUP(E24,Sheet1!A23:I84,1,0)</f>
        <v>22-251</v>
      </c>
    </row>
    <row r="25" spans="1:12">
      <c r="A25" t="s">
        <v>79</v>
      </c>
      <c r="B25">
        <v>171177718</v>
      </c>
      <c r="C25" s="1" t="s">
        <v>80</v>
      </c>
      <c r="D25">
        <v>404200</v>
      </c>
      <c r="E25" t="s">
        <v>81</v>
      </c>
      <c r="F25">
        <v>8</v>
      </c>
      <c r="G25">
        <v>171116100</v>
      </c>
      <c r="H25">
        <v>25200</v>
      </c>
      <c r="I25">
        <v>1000</v>
      </c>
      <c r="J25">
        <v>252</v>
      </c>
      <c r="K25">
        <v>378000</v>
      </c>
      <c r="L25" t="str">
        <f>VLOOKUP(E25,Sheet1!A24:I85,1,0)</f>
        <v>22-008</v>
      </c>
    </row>
    <row r="26" spans="1:12">
      <c r="A26" t="s">
        <v>82</v>
      </c>
      <c r="B26">
        <v>171177821</v>
      </c>
      <c r="C26" s="1" t="s">
        <v>83</v>
      </c>
      <c r="D26">
        <v>357800</v>
      </c>
      <c r="E26" t="s">
        <v>84</v>
      </c>
      <c r="F26">
        <v>111</v>
      </c>
      <c r="G26">
        <v>171116197</v>
      </c>
      <c r="H26">
        <v>22300</v>
      </c>
      <c r="I26">
        <v>1000</v>
      </c>
      <c r="J26">
        <v>223</v>
      </c>
      <c r="K26">
        <v>334500</v>
      </c>
      <c r="L26" t="str">
        <f>VLOOKUP(E26,Sheet1!A25:I86,1,0)</f>
        <v>22-111</v>
      </c>
    </row>
    <row r="27" spans="1:12">
      <c r="A27" t="s">
        <v>85</v>
      </c>
      <c r="B27">
        <v>171177954</v>
      </c>
      <c r="C27" s="1" t="s">
        <v>86</v>
      </c>
      <c r="D27">
        <v>625000</v>
      </c>
      <c r="E27" t="s">
        <v>87</v>
      </c>
      <c r="F27">
        <v>244</v>
      </c>
      <c r="G27">
        <v>171117010</v>
      </c>
      <c r="H27">
        <v>39000</v>
      </c>
      <c r="I27">
        <v>1000</v>
      </c>
      <c r="J27">
        <v>390</v>
      </c>
      <c r="K27">
        <v>585000</v>
      </c>
      <c r="L27" t="str">
        <f>VLOOKUP(E27,Sheet1!A26:I87,1,0)</f>
        <v>22-244</v>
      </c>
    </row>
    <row r="28" spans="1:12">
      <c r="A28" t="s">
        <v>88</v>
      </c>
      <c r="B28">
        <v>171177927</v>
      </c>
      <c r="C28" s="1" t="s">
        <v>89</v>
      </c>
      <c r="D28">
        <v>905000</v>
      </c>
      <c r="E28" t="s">
        <v>90</v>
      </c>
      <c r="F28">
        <v>217</v>
      </c>
      <c r="G28">
        <v>171116986</v>
      </c>
      <c r="H28">
        <v>56500</v>
      </c>
      <c r="I28">
        <v>1000</v>
      </c>
      <c r="J28">
        <v>565</v>
      </c>
      <c r="K28">
        <v>847500</v>
      </c>
      <c r="L28" t="str">
        <f>VLOOKUP(E28,Sheet1!A27:I88,1,0)</f>
        <v>22-217</v>
      </c>
    </row>
    <row r="29" spans="1:12">
      <c r="A29" t="s">
        <v>91</v>
      </c>
      <c r="B29">
        <v>171177736</v>
      </c>
      <c r="C29" s="1" t="s">
        <v>92</v>
      </c>
      <c r="D29">
        <v>623400</v>
      </c>
      <c r="E29" t="s">
        <v>93</v>
      </c>
      <c r="F29">
        <v>26</v>
      </c>
      <c r="G29">
        <v>171116117</v>
      </c>
      <c r="H29">
        <v>38900</v>
      </c>
      <c r="I29">
        <v>1000</v>
      </c>
      <c r="J29">
        <v>389</v>
      </c>
      <c r="K29">
        <v>583500</v>
      </c>
      <c r="L29" t="str">
        <f>VLOOKUP(E29,Sheet1!A28:I89,1,0)</f>
        <v>22-026</v>
      </c>
    </row>
    <row r="30" spans="1:12">
      <c r="A30" t="s">
        <v>94</v>
      </c>
      <c r="B30">
        <v>171177985</v>
      </c>
      <c r="C30" s="1" t="s">
        <v>95</v>
      </c>
      <c r="D30">
        <v>708200</v>
      </c>
      <c r="E30" t="s">
        <v>96</v>
      </c>
      <c r="F30">
        <v>275</v>
      </c>
      <c r="G30">
        <v>171117040</v>
      </c>
      <c r="H30">
        <v>44200</v>
      </c>
      <c r="I30">
        <v>1000</v>
      </c>
      <c r="J30">
        <v>442</v>
      </c>
      <c r="K30">
        <v>663000</v>
      </c>
      <c r="L30" t="str">
        <f>VLOOKUP(E30,Sheet1!A29:I90,1,0)</f>
        <v>22-275</v>
      </c>
    </row>
    <row r="31" spans="1:12">
      <c r="A31" t="s">
        <v>97</v>
      </c>
      <c r="B31">
        <v>171177937</v>
      </c>
      <c r="C31" s="1" t="s">
        <v>98</v>
      </c>
      <c r="D31">
        <v>130600</v>
      </c>
      <c r="E31" t="s">
        <v>99</v>
      </c>
      <c r="F31">
        <v>227</v>
      </c>
      <c r="G31">
        <v>171116995</v>
      </c>
      <c r="H31">
        <v>8100</v>
      </c>
      <c r="I31">
        <v>1000</v>
      </c>
      <c r="J31">
        <v>81</v>
      </c>
      <c r="K31">
        <v>121500</v>
      </c>
      <c r="L31" t="str">
        <f>VLOOKUP(E31,Sheet1!A30:I91,1,0)</f>
        <v>22-227</v>
      </c>
    </row>
    <row r="32" spans="1:12">
      <c r="A32" t="s">
        <v>100</v>
      </c>
      <c r="B32">
        <v>171177912</v>
      </c>
      <c r="C32" s="1" t="s">
        <v>101</v>
      </c>
      <c r="D32">
        <v>105000</v>
      </c>
      <c r="E32" t="s">
        <v>102</v>
      </c>
      <c r="F32">
        <v>202</v>
      </c>
      <c r="G32">
        <v>171116972</v>
      </c>
      <c r="H32">
        <v>6500</v>
      </c>
      <c r="I32">
        <v>1000</v>
      </c>
      <c r="J32">
        <v>65</v>
      </c>
      <c r="K32">
        <v>97500</v>
      </c>
      <c r="L32" t="str">
        <f>VLOOKUP(E32,Sheet1!A31:I92,1,0)</f>
        <v>22-202</v>
      </c>
    </row>
    <row r="33" spans="1:12">
      <c r="A33" t="s">
        <v>103</v>
      </c>
      <c r="B33">
        <v>171177969</v>
      </c>
      <c r="C33" s="1" t="s">
        <v>104</v>
      </c>
      <c r="D33">
        <v>117800</v>
      </c>
      <c r="E33" t="s">
        <v>105</v>
      </c>
      <c r="F33">
        <v>259</v>
      </c>
      <c r="G33">
        <v>171117025</v>
      </c>
      <c r="H33">
        <v>7300</v>
      </c>
      <c r="I33">
        <v>1000</v>
      </c>
      <c r="J33">
        <v>73</v>
      </c>
      <c r="K33">
        <v>109500</v>
      </c>
      <c r="L33" t="str">
        <f>VLOOKUP(E33,Sheet1!A32:I93,1,0)</f>
        <v>22-259</v>
      </c>
    </row>
    <row r="34" spans="1:12">
      <c r="A34" t="s">
        <v>106</v>
      </c>
      <c r="B34">
        <v>171177950</v>
      </c>
      <c r="C34" s="1" t="s">
        <v>107</v>
      </c>
      <c r="D34">
        <v>130600</v>
      </c>
      <c r="E34" t="s">
        <v>108</v>
      </c>
      <c r="F34">
        <v>240</v>
      </c>
      <c r="G34">
        <v>171117006</v>
      </c>
      <c r="H34">
        <v>8100</v>
      </c>
      <c r="I34">
        <v>1000</v>
      </c>
      <c r="J34">
        <v>81</v>
      </c>
      <c r="K34">
        <v>121500</v>
      </c>
      <c r="L34" t="str">
        <f>VLOOKUP(E34,Sheet1!A33:I94,1,0)</f>
        <v>22-240</v>
      </c>
    </row>
    <row r="35" spans="1:12">
      <c r="A35" t="s">
        <v>109</v>
      </c>
      <c r="B35">
        <v>171177815</v>
      </c>
      <c r="C35" s="1" t="s">
        <v>110</v>
      </c>
      <c r="D35">
        <v>85800</v>
      </c>
      <c r="E35" t="s">
        <v>111</v>
      </c>
      <c r="F35">
        <v>105</v>
      </c>
      <c r="G35">
        <v>171116191</v>
      </c>
      <c r="H35">
        <v>5300</v>
      </c>
      <c r="I35">
        <v>1000</v>
      </c>
      <c r="J35">
        <v>53</v>
      </c>
      <c r="K35">
        <v>79500</v>
      </c>
      <c r="L35" t="str">
        <f>VLOOKUP(E35,Sheet1!A34:I95,1,0)</f>
        <v>22-105</v>
      </c>
    </row>
    <row r="36" spans="1:12">
      <c r="A36" t="s">
        <v>112</v>
      </c>
      <c r="B36">
        <v>171177757</v>
      </c>
      <c r="C36" s="1" t="s">
        <v>113</v>
      </c>
      <c r="D36">
        <v>33000</v>
      </c>
      <c r="E36" t="s">
        <v>114</v>
      </c>
      <c r="F36">
        <v>47</v>
      </c>
      <c r="G36">
        <v>171116138</v>
      </c>
      <c r="H36">
        <v>2000</v>
      </c>
      <c r="I36">
        <v>1000</v>
      </c>
      <c r="J36">
        <v>20</v>
      </c>
      <c r="K36">
        <v>30000</v>
      </c>
      <c r="L36" t="str">
        <f>VLOOKUP(E36,Sheet1!A35:I96,1,0)</f>
        <v>22-047</v>
      </c>
    </row>
    <row r="37" spans="1:12">
      <c r="A37" t="s">
        <v>115</v>
      </c>
      <c r="B37">
        <v>171177881</v>
      </c>
      <c r="C37" s="1" t="s">
        <v>116</v>
      </c>
      <c r="D37">
        <v>74600</v>
      </c>
      <c r="E37" t="s">
        <v>117</v>
      </c>
      <c r="F37">
        <v>171</v>
      </c>
      <c r="G37">
        <v>171116944</v>
      </c>
      <c r="H37">
        <v>4600</v>
      </c>
      <c r="I37">
        <v>1000</v>
      </c>
      <c r="J37">
        <v>46</v>
      </c>
      <c r="K37">
        <v>69000</v>
      </c>
      <c r="L37" t="str">
        <f>VLOOKUP(E37,Sheet1!A36:I97,1,0)</f>
        <v>22-171</v>
      </c>
    </row>
    <row r="38" spans="1:12">
      <c r="A38" t="s">
        <v>118</v>
      </c>
      <c r="B38">
        <v>171177771</v>
      </c>
      <c r="C38" s="1" t="s">
        <v>119</v>
      </c>
      <c r="D38">
        <v>991400</v>
      </c>
      <c r="E38" t="s">
        <v>120</v>
      </c>
      <c r="F38">
        <v>61</v>
      </c>
      <c r="G38">
        <v>171116151</v>
      </c>
      <c r="H38">
        <v>61900</v>
      </c>
      <c r="I38">
        <v>1000</v>
      </c>
      <c r="J38">
        <v>619</v>
      </c>
      <c r="K38">
        <v>928500</v>
      </c>
      <c r="L38" t="str">
        <f>VLOOKUP(E38,Sheet1!A37:I98,1,0)</f>
        <v>22-061</v>
      </c>
    </row>
    <row r="39" spans="1:12">
      <c r="A39" t="s">
        <v>121</v>
      </c>
      <c r="B39">
        <v>171177955</v>
      </c>
      <c r="C39" s="1" t="s">
        <v>122</v>
      </c>
      <c r="D39">
        <v>121000</v>
      </c>
      <c r="E39" t="s">
        <v>123</v>
      </c>
      <c r="F39">
        <v>245</v>
      </c>
      <c r="G39">
        <v>171117011</v>
      </c>
      <c r="H39">
        <v>7500</v>
      </c>
      <c r="I39">
        <v>1000</v>
      </c>
      <c r="J39">
        <v>75</v>
      </c>
      <c r="K39">
        <v>112500</v>
      </c>
      <c r="L39" t="str">
        <f>VLOOKUP(E39,Sheet1!A38:I99,1,0)</f>
        <v>22-245</v>
      </c>
    </row>
    <row r="40" spans="1:12">
      <c r="A40" t="s">
        <v>124</v>
      </c>
      <c r="B40">
        <v>171177877</v>
      </c>
      <c r="C40" s="1" t="s">
        <v>125</v>
      </c>
      <c r="D40">
        <v>93800</v>
      </c>
      <c r="E40" t="s">
        <v>126</v>
      </c>
      <c r="F40">
        <v>167</v>
      </c>
      <c r="G40">
        <v>171116941</v>
      </c>
      <c r="H40">
        <v>5800</v>
      </c>
      <c r="I40">
        <v>1000</v>
      </c>
      <c r="J40">
        <v>58</v>
      </c>
      <c r="K40">
        <v>87000</v>
      </c>
      <c r="L40" t="str">
        <f>VLOOKUP(E40,Sheet1!A39:I100,1,0)</f>
        <v>22-167</v>
      </c>
    </row>
    <row r="41" spans="1:12">
      <c r="A41" t="s">
        <v>127</v>
      </c>
      <c r="B41">
        <v>171177784</v>
      </c>
      <c r="C41" s="1" t="s">
        <v>128</v>
      </c>
      <c r="D41">
        <v>236200</v>
      </c>
      <c r="E41" t="s">
        <v>129</v>
      </c>
      <c r="F41">
        <v>74</v>
      </c>
      <c r="G41">
        <v>171116163</v>
      </c>
      <c r="H41">
        <v>14700</v>
      </c>
      <c r="I41">
        <v>1000</v>
      </c>
      <c r="J41">
        <v>147</v>
      </c>
      <c r="K41">
        <v>220500</v>
      </c>
      <c r="L41" t="str">
        <f>VLOOKUP(E41,Sheet1!A40:I101,1,0)</f>
        <v>22-074</v>
      </c>
    </row>
    <row r="42" spans="1:12">
      <c r="A42" t="s">
        <v>130</v>
      </c>
      <c r="B42">
        <v>171177783</v>
      </c>
      <c r="C42" s="1" t="s">
        <v>131</v>
      </c>
      <c r="D42">
        <v>333800</v>
      </c>
      <c r="E42" t="s">
        <v>132</v>
      </c>
      <c r="F42">
        <v>73</v>
      </c>
      <c r="G42">
        <v>171116162</v>
      </c>
      <c r="H42">
        <v>20800</v>
      </c>
      <c r="I42">
        <v>1000</v>
      </c>
      <c r="J42">
        <v>208</v>
      </c>
      <c r="K42">
        <v>312000</v>
      </c>
      <c r="L42" t="str">
        <f>VLOOKUP(E42,Sheet1!A41:I102,1,0)</f>
        <v>22-073</v>
      </c>
    </row>
    <row r="43" spans="1:12">
      <c r="A43" t="s">
        <v>133</v>
      </c>
      <c r="B43">
        <v>171177933</v>
      </c>
      <c r="C43" s="1" t="s">
        <v>134</v>
      </c>
      <c r="D43">
        <v>149800</v>
      </c>
      <c r="E43" t="s">
        <v>135</v>
      </c>
      <c r="F43">
        <v>223</v>
      </c>
      <c r="G43">
        <v>171116992</v>
      </c>
      <c r="H43">
        <v>9300</v>
      </c>
      <c r="I43">
        <v>1000</v>
      </c>
      <c r="J43">
        <v>93</v>
      </c>
      <c r="K43">
        <v>139500</v>
      </c>
      <c r="L43" t="str">
        <f>VLOOKUP(E43,Sheet1!A42:I103,1,0)</f>
        <v>22-223</v>
      </c>
    </row>
    <row r="44" spans="1:12">
      <c r="A44" t="s">
        <v>136</v>
      </c>
      <c r="B44">
        <v>171177776</v>
      </c>
      <c r="C44" s="1" t="s">
        <v>137</v>
      </c>
      <c r="D44">
        <v>247400</v>
      </c>
      <c r="E44" t="s">
        <v>138</v>
      </c>
      <c r="F44">
        <v>66</v>
      </c>
      <c r="G44">
        <v>171116155</v>
      </c>
      <c r="H44">
        <v>15400</v>
      </c>
      <c r="I44">
        <v>1000</v>
      </c>
      <c r="J44">
        <v>154</v>
      </c>
      <c r="K44">
        <v>231000</v>
      </c>
      <c r="L44" t="str">
        <f>VLOOKUP(E44,Sheet1!A43:I104,1,0)</f>
        <v>22-066</v>
      </c>
    </row>
    <row r="45" spans="1:12">
      <c r="A45" t="s">
        <v>139</v>
      </c>
      <c r="B45">
        <v>171177855</v>
      </c>
      <c r="C45" s="1" t="s">
        <v>140</v>
      </c>
      <c r="D45">
        <v>509800</v>
      </c>
      <c r="E45" t="s">
        <v>141</v>
      </c>
      <c r="F45">
        <v>145</v>
      </c>
      <c r="G45">
        <v>171116920</v>
      </c>
      <c r="H45">
        <v>31800</v>
      </c>
      <c r="I45">
        <v>1000</v>
      </c>
      <c r="J45">
        <v>318</v>
      </c>
      <c r="K45">
        <v>477000</v>
      </c>
      <c r="L45" t="str">
        <f>VLOOKUP(E45,Sheet1!A44:I105,1,0)</f>
        <v>22-145</v>
      </c>
    </row>
    <row r="46" spans="1:12">
      <c r="A46" t="s">
        <v>142</v>
      </c>
      <c r="B46">
        <v>171177866</v>
      </c>
      <c r="C46" s="1" t="s">
        <v>143</v>
      </c>
      <c r="D46">
        <v>34600</v>
      </c>
      <c r="E46" t="s">
        <v>144</v>
      </c>
      <c r="F46">
        <v>156</v>
      </c>
      <c r="G46">
        <v>171116931</v>
      </c>
      <c r="H46">
        <v>2100</v>
      </c>
      <c r="I46">
        <v>1000</v>
      </c>
      <c r="J46">
        <v>21</v>
      </c>
      <c r="K46">
        <v>31500</v>
      </c>
      <c r="L46" t="str">
        <f>VLOOKUP(E46,Sheet1!A45:I106,1,0)</f>
        <v>22-156</v>
      </c>
    </row>
    <row r="47" spans="1:12">
      <c r="A47" t="s">
        <v>145</v>
      </c>
      <c r="B47">
        <v>171177987</v>
      </c>
      <c r="C47" s="1" t="s">
        <v>146</v>
      </c>
      <c r="D47">
        <v>82600</v>
      </c>
      <c r="E47" t="s">
        <v>147</v>
      </c>
      <c r="F47">
        <v>277</v>
      </c>
      <c r="G47">
        <v>171117042</v>
      </c>
      <c r="H47">
        <v>5100</v>
      </c>
      <c r="I47">
        <v>1000</v>
      </c>
      <c r="J47">
        <v>51</v>
      </c>
      <c r="K47">
        <v>76500</v>
      </c>
      <c r="L47" t="str">
        <f>VLOOKUP(E47,Sheet1!A46:I107,1,0)</f>
        <v>22-277</v>
      </c>
    </row>
    <row r="48" spans="1:12">
      <c r="A48" t="s">
        <v>148</v>
      </c>
      <c r="B48">
        <v>171177986</v>
      </c>
      <c r="C48" s="1" t="s">
        <v>149</v>
      </c>
      <c r="D48">
        <v>349800</v>
      </c>
      <c r="E48" t="s">
        <v>150</v>
      </c>
      <c r="F48">
        <v>276</v>
      </c>
      <c r="G48">
        <v>171117041</v>
      </c>
      <c r="H48">
        <v>21800</v>
      </c>
      <c r="I48">
        <v>1000</v>
      </c>
      <c r="J48">
        <v>218</v>
      </c>
      <c r="K48">
        <v>327000</v>
      </c>
      <c r="L48" t="str">
        <f>VLOOKUP(E48,Sheet1!A47:I108,1,0)</f>
        <v>22-276</v>
      </c>
    </row>
    <row r="49" spans="1:12">
      <c r="A49" t="s">
        <v>151</v>
      </c>
      <c r="B49">
        <v>171177941</v>
      </c>
      <c r="C49" s="1" t="s">
        <v>152</v>
      </c>
      <c r="D49">
        <v>361000</v>
      </c>
      <c r="E49" t="s">
        <v>153</v>
      </c>
      <c r="F49">
        <v>231</v>
      </c>
      <c r="G49">
        <v>171116999</v>
      </c>
      <c r="H49">
        <v>22500</v>
      </c>
      <c r="I49">
        <v>1000</v>
      </c>
      <c r="J49">
        <v>225</v>
      </c>
      <c r="K49">
        <v>337500</v>
      </c>
      <c r="L49" t="str">
        <f>VLOOKUP(E49,Sheet1!A48:I109,1,0)</f>
        <v>22-231</v>
      </c>
    </row>
    <row r="50" spans="1:12">
      <c r="A50" t="s">
        <v>154</v>
      </c>
      <c r="B50">
        <v>171177830</v>
      </c>
      <c r="C50" s="1" t="s">
        <v>155</v>
      </c>
      <c r="D50">
        <v>657000</v>
      </c>
      <c r="E50" t="s">
        <v>156</v>
      </c>
      <c r="F50">
        <v>120</v>
      </c>
      <c r="G50">
        <v>171116205</v>
      </c>
      <c r="H50">
        <v>41000</v>
      </c>
      <c r="I50">
        <v>1000</v>
      </c>
      <c r="J50">
        <v>410</v>
      </c>
      <c r="K50">
        <v>615000</v>
      </c>
      <c r="L50" t="str">
        <f>VLOOKUP(E50,Sheet1!A49:I110,1,0)</f>
        <v>22-120</v>
      </c>
    </row>
    <row r="51" spans="1:12">
      <c r="A51" t="s">
        <v>157</v>
      </c>
      <c r="B51">
        <v>171177873</v>
      </c>
      <c r="C51" s="1" t="s">
        <v>158</v>
      </c>
      <c r="D51">
        <v>85800</v>
      </c>
      <c r="E51" t="s">
        <v>159</v>
      </c>
      <c r="F51">
        <v>163</v>
      </c>
      <c r="G51">
        <v>171116937</v>
      </c>
      <c r="H51">
        <v>5300</v>
      </c>
      <c r="I51">
        <v>1000</v>
      </c>
      <c r="J51">
        <v>53</v>
      </c>
      <c r="K51">
        <v>79500</v>
      </c>
      <c r="L51" t="str">
        <f>VLOOKUP(E51,Sheet1!A50:I111,1,0)</f>
        <v>22-163</v>
      </c>
    </row>
    <row r="52" spans="1:12">
      <c r="A52" t="s">
        <v>160</v>
      </c>
      <c r="B52">
        <v>171177791</v>
      </c>
      <c r="C52" s="1" t="s">
        <v>161</v>
      </c>
      <c r="D52">
        <v>9000</v>
      </c>
      <c r="E52" t="s">
        <v>162</v>
      </c>
      <c r="F52">
        <v>81</v>
      </c>
      <c r="G52">
        <v>171116169</v>
      </c>
      <c r="H52">
        <v>500</v>
      </c>
      <c r="I52">
        <v>1000</v>
      </c>
      <c r="J52">
        <v>5</v>
      </c>
      <c r="K52">
        <v>7500</v>
      </c>
      <c r="L52" t="str">
        <f>VLOOKUP(E52,Sheet1!A51:I112,1,0)</f>
        <v>22-081</v>
      </c>
    </row>
    <row r="53" spans="1:12">
      <c r="A53" t="s">
        <v>163</v>
      </c>
      <c r="B53">
        <v>171177728</v>
      </c>
      <c r="C53" s="1" t="s">
        <v>164</v>
      </c>
      <c r="D53">
        <v>20200</v>
      </c>
      <c r="E53" t="s">
        <v>165</v>
      </c>
      <c r="F53">
        <v>18</v>
      </c>
      <c r="G53">
        <v>171116109</v>
      </c>
      <c r="H53">
        <v>1200</v>
      </c>
      <c r="I53">
        <v>1000</v>
      </c>
      <c r="J53">
        <v>12</v>
      </c>
      <c r="K53">
        <v>18000</v>
      </c>
      <c r="L53" t="str">
        <f>VLOOKUP(E53,Sheet1!A52:I113,1,0)</f>
        <v>22-018</v>
      </c>
    </row>
    <row r="54" spans="1:12">
      <c r="A54" t="s">
        <v>166</v>
      </c>
      <c r="B54">
        <v>171177825</v>
      </c>
      <c r="C54" s="1" t="s">
        <v>167</v>
      </c>
      <c r="D54">
        <v>394600</v>
      </c>
      <c r="E54" t="s">
        <v>168</v>
      </c>
      <c r="F54">
        <v>115</v>
      </c>
      <c r="G54">
        <v>171116201</v>
      </c>
      <c r="H54">
        <v>24600</v>
      </c>
      <c r="I54">
        <v>1000</v>
      </c>
      <c r="J54">
        <v>246</v>
      </c>
      <c r="K54">
        <v>369000</v>
      </c>
      <c r="L54" t="str">
        <f>VLOOKUP(E54,Sheet1!A53:I114,1,0)</f>
        <v>22-115</v>
      </c>
    </row>
    <row r="55" spans="1:12">
      <c r="A55" t="s">
        <v>169</v>
      </c>
      <c r="B55">
        <v>171177849</v>
      </c>
      <c r="C55" s="1" t="s">
        <v>170</v>
      </c>
      <c r="D55">
        <v>69800</v>
      </c>
      <c r="E55" t="s">
        <v>171</v>
      </c>
      <c r="F55">
        <v>139</v>
      </c>
      <c r="G55">
        <v>171116914</v>
      </c>
      <c r="H55">
        <v>4300</v>
      </c>
      <c r="I55">
        <v>1000</v>
      </c>
      <c r="J55">
        <v>43</v>
      </c>
      <c r="K55">
        <v>64500</v>
      </c>
      <c r="L55" t="str">
        <f>VLOOKUP(E55,Sheet1!A54:I115,1,0)</f>
        <v>22-139</v>
      </c>
    </row>
    <row r="56" spans="1:12">
      <c r="A56" t="s">
        <v>172</v>
      </c>
      <c r="B56">
        <v>171177894</v>
      </c>
      <c r="C56" s="1" t="s">
        <v>173</v>
      </c>
      <c r="D56">
        <v>77800</v>
      </c>
      <c r="E56" t="s">
        <v>174</v>
      </c>
      <c r="F56">
        <v>184</v>
      </c>
      <c r="G56">
        <v>171116956</v>
      </c>
      <c r="H56">
        <v>4800</v>
      </c>
      <c r="I56">
        <v>1000</v>
      </c>
      <c r="J56">
        <v>48</v>
      </c>
      <c r="K56">
        <v>72000</v>
      </c>
      <c r="L56" t="str">
        <f>VLOOKUP(E56,Sheet1!A55:I116,1,0)</f>
        <v>22-184</v>
      </c>
    </row>
    <row r="57" spans="1:12">
      <c r="A57" t="s">
        <v>175</v>
      </c>
      <c r="B57">
        <v>171177737</v>
      </c>
      <c r="C57" s="1" t="s">
        <v>176</v>
      </c>
      <c r="D57">
        <v>141800</v>
      </c>
      <c r="E57" t="s">
        <v>177</v>
      </c>
      <c r="F57">
        <v>27</v>
      </c>
      <c r="G57">
        <v>171116118</v>
      </c>
      <c r="H57">
        <v>8800</v>
      </c>
      <c r="I57">
        <v>1000</v>
      </c>
      <c r="J57">
        <v>88</v>
      </c>
      <c r="K57">
        <v>132000</v>
      </c>
      <c r="L57" t="str">
        <f>VLOOKUP(E57,Sheet1!A56:I117,1,0)</f>
        <v>22-027</v>
      </c>
    </row>
    <row r="58" spans="1:12">
      <c r="A58" t="s">
        <v>178</v>
      </c>
      <c r="B58">
        <v>171177895</v>
      </c>
      <c r="C58" s="1" t="s">
        <v>179</v>
      </c>
      <c r="D58">
        <v>105000</v>
      </c>
      <c r="E58" t="s">
        <v>180</v>
      </c>
      <c r="F58">
        <v>185</v>
      </c>
      <c r="G58">
        <v>171116957</v>
      </c>
      <c r="H58">
        <v>6500</v>
      </c>
      <c r="I58">
        <v>1000</v>
      </c>
      <c r="J58">
        <v>65</v>
      </c>
      <c r="K58">
        <v>97500</v>
      </c>
      <c r="L58" t="str">
        <f>VLOOKUP(E58,Sheet1!A57:I118,1,0)</f>
        <v>22-185</v>
      </c>
    </row>
    <row r="59" spans="1:12">
      <c r="A59" t="s">
        <v>181</v>
      </c>
      <c r="B59">
        <v>171177909</v>
      </c>
      <c r="C59" s="1" t="s">
        <v>182</v>
      </c>
      <c r="D59">
        <v>215400</v>
      </c>
      <c r="E59" t="s">
        <v>183</v>
      </c>
      <c r="F59">
        <v>199</v>
      </c>
      <c r="G59">
        <v>171116970</v>
      </c>
      <c r="H59">
        <v>13400</v>
      </c>
      <c r="I59">
        <v>1000</v>
      </c>
      <c r="J59">
        <v>134</v>
      </c>
      <c r="K59">
        <v>201000</v>
      </c>
      <c r="L59" t="str">
        <f>VLOOKUP(E59,Sheet1!A58:I119,1,0)</f>
        <v>22-199</v>
      </c>
    </row>
    <row r="60" spans="1:12">
      <c r="A60" t="s">
        <v>184</v>
      </c>
      <c r="B60">
        <v>171177885</v>
      </c>
      <c r="C60" s="1" t="s">
        <v>185</v>
      </c>
      <c r="D60">
        <v>359400</v>
      </c>
      <c r="E60" t="s">
        <v>186</v>
      </c>
      <c r="F60">
        <v>175</v>
      </c>
      <c r="G60">
        <v>171116947</v>
      </c>
      <c r="H60">
        <v>22400</v>
      </c>
      <c r="I60">
        <v>1000</v>
      </c>
      <c r="J60">
        <v>224</v>
      </c>
      <c r="K60">
        <v>336000</v>
      </c>
      <c r="L60" t="str">
        <f>VLOOKUP(E60,Sheet1!A59:I120,1,0)</f>
        <v>22-175</v>
      </c>
    </row>
    <row r="61" spans="1:12">
      <c r="A61" t="s">
        <v>187</v>
      </c>
      <c r="B61">
        <v>171177829</v>
      </c>
      <c r="C61" s="1" t="s">
        <v>188</v>
      </c>
      <c r="D61">
        <v>220200</v>
      </c>
      <c r="E61" t="s">
        <v>189</v>
      </c>
      <c r="F61">
        <v>119</v>
      </c>
      <c r="G61">
        <v>171116204</v>
      </c>
      <c r="H61">
        <v>13700</v>
      </c>
      <c r="I61">
        <v>1000</v>
      </c>
      <c r="J61">
        <v>137</v>
      </c>
      <c r="K61">
        <v>205500</v>
      </c>
      <c r="L61" t="str">
        <f>VLOOKUP(E61,Sheet1!A60:I121,1,0)</f>
        <v>22-119</v>
      </c>
    </row>
    <row r="62" spans="1:12">
      <c r="A62" t="s">
        <v>190</v>
      </c>
      <c r="B62">
        <v>171177890</v>
      </c>
      <c r="C62" s="1" t="s">
        <v>191</v>
      </c>
      <c r="D62">
        <v>41000</v>
      </c>
      <c r="E62" t="s">
        <v>192</v>
      </c>
      <c r="F62">
        <v>180</v>
      </c>
      <c r="G62">
        <v>171116952</v>
      </c>
      <c r="H62">
        <v>2500</v>
      </c>
      <c r="I62">
        <v>1000</v>
      </c>
      <c r="J62">
        <v>25</v>
      </c>
      <c r="K62">
        <v>37500</v>
      </c>
      <c r="L62" t="e">
        <f>VLOOKUP(E62,Sheet1!A61:I122,1,0)</f>
        <v>#N/A</v>
      </c>
    </row>
    <row r="63" spans="1:12">
      <c r="A63" t="s">
        <v>193</v>
      </c>
      <c r="B63">
        <v>171178316</v>
      </c>
      <c r="C63" s="1" t="s">
        <v>194</v>
      </c>
      <c r="D63">
        <v>903400</v>
      </c>
      <c r="E63" t="s">
        <v>195</v>
      </c>
      <c r="F63">
        <v>19</v>
      </c>
      <c r="G63">
        <v>171116110</v>
      </c>
      <c r="H63">
        <v>56400</v>
      </c>
      <c r="I63">
        <v>1000</v>
      </c>
      <c r="J63">
        <v>564</v>
      </c>
      <c r="K63">
        <v>846000</v>
      </c>
      <c r="L63" t="e">
        <f>VLOOKUP(E63,Sheet1!A62:I123,1,0)</f>
        <v>#N/A</v>
      </c>
    </row>
    <row r="64" spans="1:12">
      <c r="A64" t="s">
        <v>196</v>
      </c>
      <c r="B64">
        <v>171177730</v>
      </c>
      <c r="C64" s="1" t="s">
        <v>197</v>
      </c>
      <c r="D64">
        <v>221800</v>
      </c>
      <c r="E64" t="s">
        <v>198</v>
      </c>
      <c r="F64">
        <v>20</v>
      </c>
      <c r="G64">
        <v>171116111</v>
      </c>
      <c r="H64">
        <v>13800</v>
      </c>
      <c r="I64">
        <v>1000</v>
      </c>
      <c r="J64">
        <v>138</v>
      </c>
      <c r="K64">
        <v>207000</v>
      </c>
      <c r="L64" t="e">
        <f>VLOOKUP(E64,Sheet1!A63:I124,1,0)</f>
        <v>#N/A</v>
      </c>
    </row>
    <row r="65" spans="1:12">
      <c r="A65" t="s">
        <v>199</v>
      </c>
      <c r="B65">
        <v>171177726</v>
      </c>
      <c r="C65" s="1" t="s">
        <v>200</v>
      </c>
      <c r="D65">
        <v>356200</v>
      </c>
      <c r="E65" t="s">
        <v>201</v>
      </c>
      <c r="F65">
        <v>16</v>
      </c>
      <c r="G65">
        <v>171116107</v>
      </c>
      <c r="H65">
        <v>22200</v>
      </c>
      <c r="I65">
        <v>1000</v>
      </c>
      <c r="J65">
        <v>222</v>
      </c>
      <c r="K65">
        <v>333000</v>
      </c>
      <c r="L65" t="e">
        <f>VLOOKUP(E65,Sheet1!A64:I125,1,0)</f>
        <v>#N/A</v>
      </c>
    </row>
    <row r="66" spans="1:12">
      <c r="A66" t="s">
        <v>202</v>
      </c>
      <c r="B66">
        <v>171177863</v>
      </c>
      <c r="C66" s="1" t="s">
        <v>203</v>
      </c>
      <c r="D66">
        <v>97000</v>
      </c>
      <c r="E66" t="s">
        <v>204</v>
      </c>
      <c r="F66">
        <v>153</v>
      </c>
      <c r="G66">
        <v>171116928</v>
      </c>
      <c r="H66">
        <v>6000</v>
      </c>
      <c r="I66">
        <v>1000</v>
      </c>
      <c r="J66">
        <v>60</v>
      </c>
      <c r="K66">
        <v>90000</v>
      </c>
      <c r="L66" t="e">
        <f>VLOOKUP(E66,Sheet1!A65:I126,1,0)</f>
        <v>#N/A</v>
      </c>
    </row>
    <row r="67" spans="1:12">
      <c r="A67" t="s">
        <v>205</v>
      </c>
      <c r="B67">
        <v>171177817</v>
      </c>
      <c r="C67" s="1" t="s">
        <v>206</v>
      </c>
      <c r="D67">
        <v>68200</v>
      </c>
      <c r="E67" t="s">
        <v>207</v>
      </c>
      <c r="F67">
        <v>107</v>
      </c>
      <c r="G67">
        <v>171116193</v>
      </c>
      <c r="H67">
        <v>4200</v>
      </c>
      <c r="I67">
        <v>1000</v>
      </c>
      <c r="J67">
        <v>42</v>
      </c>
      <c r="K67">
        <v>63000</v>
      </c>
      <c r="L67" t="e">
        <f>VLOOKUP(E67,Sheet1!A66:I127,1,0)</f>
        <v>#N/A</v>
      </c>
    </row>
    <row r="68" spans="1:12">
      <c r="A68" t="s">
        <v>208</v>
      </c>
      <c r="B68">
        <v>171177753</v>
      </c>
      <c r="C68" s="1" t="s">
        <v>209</v>
      </c>
      <c r="D68">
        <v>63400</v>
      </c>
      <c r="E68" t="s">
        <v>210</v>
      </c>
      <c r="F68">
        <v>43</v>
      </c>
      <c r="G68">
        <v>171116134</v>
      </c>
      <c r="H68">
        <v>3900</v>
      </c>
      <c r="I68">
        <v>1000</v>
      </c>
      <c r="J68">
        <v>39</v>
      </c>
      <c r="K68">
        <v>58500</v>
      </c>
      <c r="L68" t="e">
        <f>VLOOKUP(E68,Sheet1!A67:I128,1,0)</f>
        <v>#N/A</v>
      </c>
    </row>
    <row r="69" spans="1:12">
      <c r="A69" t="s">
        <v>211</v>
      </c>
      <c r="B69">
        <v>171177774</v>
      </c>
      <c r="C69" s="1" t="s">
        <v>212</v>
      </c>
      <c r="D69">
        <v>42600</v>
      </c>
      <c r="E69" t="s">
        <v>213</v>
      </c>
      <c r="F69">
        <v>64</v>
      </c>
      <c r="G69">
        <v>171116154</v>
      </c>
      <c r="H69">
        <v>2600</v>
      </c>
      <c r="I69">
        <v>1000</v>
      </c>
      <c r="J69">
        <v>26</v>
      </c>
      <c r="K69">
        <v>39000</v>
      </c>
      <c r="L69" t="e">
        <f>VLOOKUP(E69,Sheet1!A68:I129,1,0)</f>
        <v>#N/A</v>
      </c>
    </row>
    <row r="70" spans="1:12">
      <c r="A70" t="s">
        <v>214</v>
      </c>
      <c r="B70">
        <v>171177777</v>
      </c>
      <c r="C70" s="1" t="s">
        <v>215</v>
      </c>
      <c r="D70">
        <v>93800</v>
      </c>
      <c r="E70" t="s">
        <v>216</v>
      </c>
      <c r="F70">
        <v>67</v>
      </c>
      <c r="G70">
        <v>171116156</v>
      </c>
      <c r="H70">
        <v>5800</v>
      </c>
      <c r="I70">
        <v>1000</v>
      </c>
      <c r="J70">
        <v>58</v>
      </c>
      <c r="K70">
        <v>87000</v>
      </c>
      <c r="L70" t="e">
        <f>VLOOKUP(E70,Sheet1!A69:I130,1,0)</f>
        <v>#N/A</v>
      </c>
    </row>
    <row r="71" spans="1:12">
      <c r="A71" t="s">
        <v>217</v>
      </c>
      <c r="B71">
        <v>171177917</v>
      </c>
      <c r="C71" s="1" t="s">
        <v>218</v>
      </c>
      <c r="D71">
        <v>12200</v>
      </c>
      <c r="E71" t="s">
        <v>219</v>
      </c>
      <c r="F71">
        <v>207</v>
      </c>
      <c r="G71">
        <v>171116977</v>
      </c>
      <c r="H71">
        <v>700</v>
      </c>
      <c r="I71">
        <v>1000</v>
      </c>
      <c r="J71">
        <v>7</v>
      </c>
      <c r="K71">
        <v>10500</v>
      </c>
      <c r="L71" t="e">
        <f>VLOOKUP(E71,Sheet1!A70:I131,1,0)</f>
        <v>#N/A</v>
      </c>
    </row>
    <row r="72" spans="1:12">
      <c r="A72" t="s">
        <v>220</v>
      </c>
      <c r="B72">
        <v>171177755</v>
      </c>
      <c r="C72" s="1" t="s">
        <v>221</v>
      </c>
      <c r="D72">
        <v>389800</v>
      </c>
      <c r="E72" t="s">
        <v>222</v>
      </c>
      <c r="F72">
        <v>45</v>
      </c>
      <c r="G72">
        <v>171116136</v>
      </c>
      <c r="H72">
        <v>24300</v>
      </c>
      <c r="I72">
        <v>1000</v>
      </c>
      <c r="J72">
        <v>243</v>
      </c>
      <c r="K72">
        <v>364500</v>
      </c>
      <c r="L72" t="e">
        <f>VLOOKUP(E72,Sheet1!A71:I132,1,0)</f>
        <v>#N/A</v>
      </c>
    </row>
    <row r="73" spans="1:12">
      <c r="A73" t="s">
        <v>223</v>
      </c>
      <c r="B73">
        <v>171177908</v>
      </c>
      <c r="C73" s="1" t="s">
        <v>224</v>
      </c>
      <c r="D73">
        <v>103400</v>
      </c>
      <c r="E73" t="s">
        <v>225</v>
      </c>
      <c r="F73">
        <v>198</v>
      </c>
      <c r="G73">
        <v>171116969</v>
      </c>
      <c r="H73">
        <v>6400</v>
      </c>
      <c r="I73">
        <v>1000</v>
      </c>
      <c r="J73">
        <v>64</v>
      </c>
      <c r="K73">
        <v>96000</v>
      </c>
      <c r="L73" t="e">
        <f>VLOOKUP(E73,Sheet1!A72:I133,1,0)</f>
        <v>#N/A</v>
      </c>
    </row>
    <row r="74" spans="1:12">
      <c r="A74" t="s">
        <v>226</v>
      </c>
      <c r="B74">
        <v>171177812</v>
      </c>
      <c r="C74" s="1" t="s">
        <v>227</v>
      </c>
      <c r="D74">
        <v>197800</v>
      </c>
      <c r="E74" t="s">
        <v>228</v>
      </c>
      <c r="F74">
        <v>102</v>
      </c>
      <c r="G74">
        <v>171116188</v>
      </c>
      <c r="H74">
        <v>12300</v>
      </c>
      <c r="I74">
        <v>1000</v>
      </c>
      <c r="J74">
        <v>123</v>
      </c>
      <c r="K74">
        <v>184500</v>
      </c>
      <c r="L74" t="e">
        <f>VLOOKUP(E74,Sheet1!A73:I134,1,0)</f>
        <v>#N/A</v>
      </c>
    </row>
    <row r="75" spans="1:12">
      <c r="A75" t="s">
        <v>229</v>
      </c>
      <c r="B75">
        <v>171177835</v>
      </c>
      <c r="C75" s="1" t="s">
        <v>230</v>
      </c>
      <c r="D75">
        <v>228200</v>
      </c>
      <c r="E75" t="s">
        <v>231</v>
      </c>
      <c r="F75">
        <v>125</v>
      </c>
      <c r="G75">
        <v>171116210</v>
      </c>
      <c r="H75">
        <v>14200</v>
      </c>
      <c r="I75">
        <v>1000</v>
      </c>
      <c r="J75">
        <v>142</v>
      </c>
      <c r="K75">
        <v>213000</v>
      </c>
      <c r="L75" t="e">
        <f>VLOOKUP(E75,Sheet1!A74:I135,1,0)</f>
        <v>#N/A</v>
      </c>
    </row>
    <row r="76" spans="1:12">
      <c r="A76" t="s">
        <v>232</v>
      </c>
      <c r="B76">
        <v>171177951</v>
      </c>
      <c r="C76" s="1" t="s">
        <v>233</v>
      </c>
      <c r="D76">
        <v>698600</v>
      </c>
      <c r="E76" t="s">
        <v>234</v>
      </c>
      <c r="F76">
        <v>241</v>
      </c>
      <c r="G76">
        <v>171117007</v>
      </c>
      <c r="H76">
        <v>43600</v>
      </c>
      <c r="I76">
        <v>1000</v>
      </c>
      <c r="J76">
        <v>436</v>
      </c>
      <c r="K76">
        <v>654000</v>
      </c>
      <c r="L76" t="e">
        <f>VLOOKUP(E76,Sheet1!A75:I136,1,0)</f>
        <v>#N/A</v>
      </c>
    </row>
    <row r="77" spans="1:12">
      <c r="A77" t="s">
        <v>235</v>
      </c>
      <c r="B77">
        <v>171177773</v>
      </c>
      <c r="C77" s="1" t="s">
        <v>236</v>
      </c>
      <c r="D77">
        <v>36200</v>
      </c>
      <c r="E77" t="s">
        <v>237</v>
      </c>
      <c r="F77">
        <v>63</v>
      </c>
      <c r="G77">
        <v>171116153</v>
      </c>
      <c r="H77">
        <v>2200</v>
      </c>
      <c r="I77">
        <v>1000</v>
      </c>
      <c r="J77">
        <v>22</v>
      </c>
      <c r="K77">
        <v>33000</v>
      </c>
      <c r="L77" t="e">
        <f>VLOOKUP(E77,Sheet1!A76:I137,1,0)</f>
        <v>#N/A</v>
      </c>
    </row>
    <row r="78" spans="1:12">
      <c r="A78" t="s">
        <v>238</v>
      </c>
      <c r="B78">
        <v>171177814</v>
      </c>
      <c r="C78" s="1" t="s">
        <v>239</v>
      </c>
      <c r="D78">
        <v>111400</v>
      </c>
      <c r="E78" t="s">
        <v>240</v>
      </c>
      <c r="F78">
        <v>104</v>
      </c>
      <c r="G78">
        <v>171116190</v>
      </c>
      <c r="H78">
        <v>6900</v>
      </c>
      <c r="I78">
        <v>1000</v>
      </c>
      <c r="J78">
        <v>69</v>
      </c>
      <c r="K78">
        <v>103500</v>
      </c>
      <c r="L78" t="e">
        <f>VLOOKUP(E78,Sheet1!A77:I138,1,0)</f>
        <v>#N/A</v>
      </c>
    </row>
    <row r="79" spans="1:12">
      <c r="A79" t="s">
        <v>241</v>
      </c>
      <c r="B79">
        <v>171177741</v>
      </c>
      <c r="C79" s="1" t="s">
        <v>242</v>
      </c>
      <c r="D79">
        <v>730600</v>
      </c>
      <c r="E79" t="s">
        <v>243</v>
      </c>
      <c r="F79">
        <v>31</v>
      </c>
      <c r="G79">
        <v>171116122</v>
      </c>
      <c r="H79">
        <v>45600</v>
      </c>
      <c r="I79">
        <v>1000</v>
      </c>
      <c r="J79">
        <v>456</v>
      </c>
      <c r="K79">
        <v>684000</v>
      </c>
      <c r="L79" t="e">
        <f>VLOOKUP(E79,Sheet1!A78:I139,1,0)</f>
        <v>#N/A</v>
      </c>
    </row>
    <row r="80" spans="1:12">
      <c r="A80" t="s">
        <v>244</v>
      </c>
      <c r="B80">
        <v>171177850</v>
      </c>
      <c r="C80" s="1" t="s">
        <v>245</v>
      </c>
      <c r="D80">
        <v>231400</v>
      </c>
      <c r="E80" t="s">
        <v>246</v>
      </c>
      <c r="F80">
        <v>140</v>
      </c>
      <c r="G80">
        <v>171116915</v>
      </c>
      <c r="H80">
        <v>14400</v>
      </c>
      <c r="I80">
        <v>1000</v>
      </c>
      <c r="J80">
        <v>144</v>
      </c>
      <c r="K80">
        <v>216000</v>
      </c>
      <c r="L80" t="e">
        <f>VLOOKUP(E80,Sheet1!A79:I140,1,0)</f>
        <v>#N/A</v>
      </c>
    </row>
    <row r="81" spans="1:12">
      <c r="A81" t="s">
        <v>247</v>
      </c>
      <c r="B81">
        <v>171177853</v>
      </c>
      <c r="C81" s="1" t="s">
        <v>248</v>
      </c>
      <c r="D81">
        <v>1085800</v>
      </c>
      <c r="E81" t="s">
        <v>249</v>
      </c>
      <c r="F81">
        <v>143</v>
      </c>
      <c r="G81">
        <v>171116918</v>
      </c>
      <c r="H81">
        <v>67800</v>
      </c>
      <c r="I81">
        <v>1000</v>
      </c>
      <c r="J81">
        <v>678</v>
      </c>
      <c r="K81">
        <v>1017000</v>
      </c>
      <c r="L81" t="e">
        <f>VLOOKUP(E81,Sheet1!A80:I141,1,0)</f>
        <v>#N/A</v>
      </c>
    </row>
    <row r="82" spans="1:12">
      <c r="A82" t="s">
        <v>250</v>
      </c>
      <c r="B82">
        <v>171177973</v>
      </c>
      <c r="C82" s="1" t="s">
        <v>251</v>
      </c>
      <c r="D82">
        <v>300200</v>
      </c>
      <c r="E82" t="s">
        <v>252</v>
      </c>
      <c r="F82">
        <v>263</v>
      </c>
      <c r="G82">
        <v>171117029</v>
      </c>
      <c r="H82">
        <v>18700</v>
      </c>
      <c r="I82">
        <v>1000</v>
      </c>
      <c r="J82">
        <v>187</v>
      </c>
      <c r="K82">
        <v>280500</v>
      </c>
      <c r="L82" t="e">
        <f>VLOOKUP(E82,Sheet1!A81:I142,1,0)</f>
        <v>#N/A</v>
      </c>
    </row>
    <row r="83" spans="1:12">
      <c r="A83" t="s">
        <v>253</v>
      </c>
      <c r="B83">
        <v>171177856</v>
      </c>
      <c r="C83" s="1" t="s">
        <v>254</v>
      </c>
      <c r="D83">
        <v>426600</v>
      </c>
      <c r="E83" t="s">
        <v>255</v>
      </c>
      <c r="F83">
        <v>146</v>
      </c>
      <c r="G83">
        <v>171116921</v>
      </c>
      <c r="H83">
        <v>26600</v>
      </c>
      <c r="I83">
        <v>1000</v>
      </c>
      <c r="J83">
        <v>266</v>
      </c>
      <c r="K83">
        <v>399000</v>
      </c>
      <c r="L83" t="e">
        <f>VLOOKUP(E83,Sheet1!A82:I143,1,0)</f>
        <v>#N/A</v>
      </c>
    </row>
    <row r="84" spans="1:12">
      <c r="A84" t="s">
        <v>256</v>
      </c>
      <c r="B84">
        <v>171177979</v>
      </c>
      <c r="C84" s="1" t="s">
        <v>257</v>
      </c>
      <c r="D84">
        <v>313000</v>
      </c>
      <c r="E84" t="s">
        <v>258</v>
      </c>
      <c r="F84">
        <v>269</v>
      </c>
      <c r="G84">
        <v>171117034</v>
      </c>
      <c r="H84">
        <v>19500</v>
      </c>
      <c r="I84">
        <v>1000</v>
      </c>
      <c r="J84">
        <v>195</v>
      </c>
      <c r="K84">
        <v>292500</v>
      </c>
      <c r="L84" t="e">
        <f>VLOOKUP(E84,Sheet1!A83:I144,1,0)</f>
        <v>#N/A</v>
      </c>
    </row>
    <row r="85" spans="1:12">
      <c r="A85" t="s">
        <v>259</v>
      </c>
      <c r="B85">
        <v>171177733</v>
      </c>
      <c r="C85" s="1" t="s">
        <v>260</v>
      </c>
      <c r="D85">
        <v>140200</v>
      </c>
      <c r="E85" t="s">
        <v>261</v>
      </c>
      <c r="F85">
        <v>23</v>
      </c>
      <c r="G85">
        <v>171116114</v>
      </c>
      <c r="H85">
        <v>8700</v>
      </c>
      <c r="I85">
        <v>1000</v>
      </c>
      <c r="J85">
        <v>87</v>
      </c>
      <c r="K85">
        <v>130500</v>
      </c>
      <c r="L85" t="e">
        <f>VLOOKUP(E85,Sheet1!A84:I145,1,0)</f>
        <v>#N/A</v>
      </c>
    </row>
    <row r="86" spans="1:12">
      <c r="A86" t="s">
        <v>262</v>
      </c>
      <c r="B86">
        <v>171177976</v>
      </c>
      <c r="C86" s="1" t="s">
        <v>263</v>
      </c>
      <c r="D86">
        <v>12200</v>
      </c>
      <c r="E86" t="s">
        <v>264</v>
      </c>
      <c r="F86">
        <v>266</v>
      </c>
      <c r="G86">
        <v>171117031</v>
      </c>
      <c r="H86">
        <v>700</v>
      </c>
      <c r="I86">
        <v>1000</v>
      </c>
      <c r="J86">
        <v>7</v>
      </c>
      <c r="K86">
        <v>10500</v>
      </c>
      <c r="L86" t="e">
        <f>VLOOKUP(E86,Sheet1!A85:I146,1,0)</f>
        <v>#N/A</v>
      </c>
    </row>
    <row r="87" spans="1:12">
      <c r="A87" t="s">
        <v>265</v>
      </c>
      <c r="B87">
        <v>171177940</v>
      </c>
      <c r="C87" s="1" t="s">
        <v>266</v>
      </c>
      <c r="D87">
        <v>90600</v>
      </c>
      <c r="E87" t="s">
        <v>267</v>
      </c>
      <c r="F87">
        <v>230</v>
      </c>
      <c r="G87">
        <v>171116998</v>
      </c>
      <c r="H87">
        <v>5600</v>
      </c>
      <c r="I87">
        <v>1000</v>
      </c>
      <c r="J87">
        <v>56</v>
      </c>
      <c r="K87">
        <v>84000</v>
      </c>
      <c r="L87" t="e">
        <f>VLOOKUP(E87,Sheet1!A86:I147,1,0)</f>
        <v>#N/A</v>
      </c>
    </row>
    <row r="88" spans="1:12">
      <c r="A88" t="s">
        <v>268</v>
      </c>
      <c r="B88">
        <v>171177818</v>
      </c>
      <c r="C88" s="1" t="s">
        <v>269</v>
      </c>
      <c r="D88">
        <v>105000</v>
      </c>
      <c r="E88" t="s">
        <v>270</v>
      </c>
      <c r="F88">
        <v>108</v>
      </c>
      <c r="G88">
        <v>171116194</v>
      </c>
      <c r="H88">
        <v>6500</v>
      </c>
      <c r="I88">
        <v>1000</v>
      </c>
      <c r="J88">
        <v>65</v>
      </c>
      <c r="K88">
        <v>97500</v>
      </c>
      <c r="L88" t="e">
        <f>VLOOKUP(E88,Sheet1!A87:I148,1,0)</f>
        <v>#N/A</v>
      </c>
    </row>
    <row r="89" spans="1:12">
      <c r="A89" t="s">
        <v>271</v>
      </c>
      <c r="B89">
        <v>171177905</v>
      </c>
      <c r="C89" s="1" t="s">
        <v>272</v>
      </c>
      <c r="D89">
        <v>116200</v>
      </c>
      <c r="E89" t="s">
        <v>273</v>
      </c>
      <c r="F89">
        <v>195</v>
      </c>
      <c r="G89">
        <v>171116966</v>
      </c>
      <c r="H89">
        <v>7200</v>
      </c>
      <c r="I89">
        <v>1000</v>
      </c>
      <c r="J89">
        <v>72</v>
      </c>
      <c r="K89">
        <v>108000</v>
      </c>
      <c r="L89" t="e">
        <f>VLOOKUP(E89,Sheet1!A88:I149,1,0)</f>
        <v>#N/A</v>
      </c>
    </row>
    <row r="90" spans="1:12">
      <c r="A90" t="s">
        <v>274</v>
      </c>
      <c r="B90">
        <v>171177727</v>
      </c>
      <c r="C90" s="1" t="s">
        <v>275</v>
      </c>
      <c r="D90">
        <v>361000</v>
      </c>
      <c r="E90" t="s">
        <v>276</v>
      </c>
      <c r="F90">
        <v>17</v>
      </c>
      <c r="G90">
        <v>171116108</v>
      </c>
      <c r="H90">
        <v>22500</v>
      </c>
      <c r="I90">
        <v>1000</v>
      </c>
      <c r="J90">
        <v>225</v>
      </c>
      <c r="K90">
        <v>337500</v>
      </c>
      <c r="L90" t="e">
        <f>VLOOKUP(E90,Sheet1!A89:I150,1,0)</f>
        <v>#N/A</v>
      </c>
    </row>
    <row r="91" spans="1:12">
      <c r="A91" t="s">
        <v>277</v>
      </c>
      <c r="B91">
        <v>171178317</v>
      </c>
      <c r="C91" s="1" t="s">
        <v>278</v>
      </c>
      <c r="D91">
        <v>116200</v>
      </c>
      <c r="E91" t="s">
        <v>279</v>
      </c>
      <c r="F91">
        <v>112</v>
      </c>
      <c r="G91">
        <v>171116198</v>
      </c>
      <c r="H91">
        <v>7200</v>
      </c>
      <c r="I91">
        <v>1000</v>
      </c>
      <c r="J91">
        <v>72</v>
      </c>
      <c r="K91">
        <v>108000</v>
      </c>
      <c r="L91" t="e">
        <f>VLOOKUP(E91,Sheet1!A90:I151,1,0)</f>
        <v>#N/A</v>
      </c>
    </row>
    <row r="92" spans="1:12">
      <c r="A92" t="s">
        <v>280</v>
      </c>
      <c r="B92">
        <v>171177914</v>
      </c>
      <c r="C92" s="1" t="s">
        <v>281</v>
      </c>
      <c r="D92">
        <v>50600</v>
      </c>
      <c r="E92" t="s">
        <v>282</v>
      </c>
      <c r="F92">
        <v>204</v>
      </c>
      <c r="G92">
        <v>171116974</v>
      </c>
      <c r="H92">
        <v>3100</v>
      </c>
      <c r="I92">
        <v>1000</v>
      </c>
      <c r="J92">
        <v>31</v>
      </c>
      <c r="K92">
        <v>46500</v>
      </c>
      <c r="L92" t="e">
        <f>VLOOKUP(E92,Sheet1!A91:I152,1,0)</f>
        <v>#N/A</v>
      </c>
    </row>
    <row r="93" spans="1:12">
      <c r="A93" t="s">
        <v>283</v>
      </c>
      <c r="B93">
        <v>171177991</v>
      </c>
      <c r="C93" s="1" t="s">
        <v>284</v>
      </c>
      <c r="D93">
        <v>121000</v>
      </c>
      <c r="E93" t="s">
        <v>285</v>
      </c>
      <c r="F93">
        <v>281</v>
      </c>
      <c r="G93">
        <v>171117046</v>
      </c>
      <c r="H93">
        <v>7500</v>
      </c>
      <c r="I93">
        <v>1000</v>
      </c>
      <c r="J93">
        <v>75</v>
      </c>
      <c r="K93">
        <v>112500</v>
      </c>
      <c r="L93" t="e">
        <f>VLOOKUP(E93,Sheet1!A92:I153,1,0)</f>
        <v>#N/A</v>
      </c>
    </row>
    <row r="94" spans="1:12">
      <c r="A94" t="s">
        <v>286</v>
      </c>
      <c r="B94">
        <v>171177765</v>
      </c>
      <c r="C94" s="1" t="s">
        <v>287</v>
      </c>
      <c r="D94">
        <v>170600</v>
      </c>
      <c r="E94" t="s">
        <v>288</v>
      </c>
      <c r="F94">
        <v>55</v>
      </c>
      <c r="G94">
        <v>171116145</v>
      </c>
      <c r="H94">
        <v>10600</v>
      </c>
      <c r="I94">
        <v>1000</v>
      </c>
      <c r="J94">
        <v>106</v>
      </c>
      <c r="K94">
        <v>159000</v>
      </c>
      <c r="L94" t="e">
        <f>VLOOKUP(E94,Sheet1!A93:I154,1,0)</f>
        <v>#N/A</v>
      </c>
    </row>
    <row r="95" spans="1:12">
      <c r="A95" t="s">
        <v>289</v>
      </c>
      <c r="B95">
        <v>171177739</v>
      </c>
      <c r="C95" s="1" t="s">
        <v>290</v>
      </c>
      <c r="D95">
        <v>724200</v>
      </c>
      <c r="E95" t="s">
        <v>291</v>
      </c>
      <c r="F95">
        <v>29</v>
      </c>
      <c r="G95">
        <v>171116120</v>
      </c>
      <c r="H95">
        <v>45200</v>
      </c>
      <c r="I95">
        <v>1000</v>
      </c>
      <c r="J95">
        <v>452</v>
      </c>
      <c r="K95">
        <v>678000</v>
      </c>
      <c r="L95" t="e">
        <f>VLOOKUP(E95,Sheet1!A94:I155,1,0)</f>
        <v>#N/A</v>
      </c>
    </row>
    <row r="96" spans="1:12">
      <c r="A96" t="s">
        <v>292</v>
      </c>
      <c r="B96">
        <v>171177924</v>
      </c>
      <c r="C96" s="1" t="s">
        <v>293</v>
      </c>
      <c r="D96">
        <v>161000</v>
      </c>
      <c r="E96" t="s">
        <v>294</v>
      </c>
      <c r="F96">
        <v>214</v>
      </c>
      <c r="G96">
        <v>171116983</v>
      </c>
      <c r="H96">
        <v>10000</v>
      </c>
      <c r="I96">
        <v>1000</v>
      </c>
      <c r="J96">
        <v>100</v>
      </c>
      <c r="K96">
        <v>150000</v>
      </c>
      <c r="L96" t="e">
        <f>VLOOKUP(E96,Sheet1!A95:I156,1,0)</f>
        <v>#N/A</v>
      </c>
    </row>
    <row r="97" spans="1:12">
      <c r="A97" t="s">
        <v>295</v>
      </c>
      <c r="B97">
        <v>171177725</v>
      </c>
      <c r="C97" s="1" t="s">
        <v>296</v>
      </c>
      <c r="D97">
        <v>169000</v>
      </c>
      <c r="E97" t="s">
        <v>297</v>
      </c>
      <c r="F97">
        <v>15</v>
      </c>
      <c r="G97">
        <v>171116106</v>
      </c>
      <c r="H97">
        <v>10500</v>
      </c>
      <c r="I97">
        <v>1000</v>
      </c>
      <c r="J97">
        <v>105</v>
      </c>
      <c r="K97">
        <v>157500</v>
      </c>
      <c r="L97" t="e">
        <f>VLOOKUP(E97,Sheet1!A96:I157,1,0)</f>
        <v>#N/A</v>
      </c>
    </row>
    <row r="98" spans="1:12">
      <c r="A98" t="s">
        <v>298</v>
      </c>
      <c r="B98">
        <v>171177844</v>
      </c>
      <c r="C98" s="1" t="s">
        <v>299</v>
      </c>
      <c r="D98">
        <v>405800</v>
      </c>
      <c r="E98" t="s">
        <v>300</v>
      </c>
      <c r="F98">
        <v>134</v>
      </c>
      <c r="G98">
        <v>171116219</v>
      </c>
      <c r="H98">
        <v>25300</v>
      </c>
      <c r="I98">
        <v>1000</v>
      </c>
      <c r="J98">
        <v>253</v>
      </c>
      <c r="K98">
        <v>379500</v>
      </c>
      <c r="L98" t="e">
        <f>VLOOKUP(E98,Sheet1!A97:I158,1,0)</f>
        <v>#N/A</v>
      </c>
    </row>
    <row r="99" spans="1:12">
      <c r="A99" t="s">
        <v>301</v>
      </c>
      <c r="B99">
        <v>171177889</v>
      </c>
      <c r="C99" s="1" t="s">
        <v>302</v>
      </c>
      <c r="D99">
        <v>98600</v>
      </c>
      <c r="E99" t="s">
        <v>303</v>
      </c>
      <c r="F99">
        <v>179</v>
      </c>
      <c r="G99">
        <v>171116951</v>
      </c>
      <c r="H99">
        <v>6100</v>
      </c>
      <c r="I99">
        <v>1000</v>
      </c>
      <c r="J99">
        <v>61</v>
      </c>
      <c r="K99">
        <v>91500</v>
      </c>
      <c r="L99" t="e">
        <f>VLOOKUP(E99,Sheet1!A98:I159,1,0)</f>
        <v>#N/A</v>
      </c>
    </row>
    <row r="100" spans="1:12">
      <c r="A100" t="s">
        <v>304</v>
      </c>
      <c r="B100">
        <v>171178008</v>
      </c>
      <c r="C100" s="1" t="s">
        <v>305</v>
      </c>
      <c r="D100">
        <v>156200</v>
      </c>
      <c r="E100" t="s">
        <v>306</v>
      </c>
      <c r="F100">
        <v>298</v>
      </c>
      <c r="G100">
        <v>171117061</v>
      </c>
      <c r="H100">
        <v>9700</v>
      </c>
      <c r="I100">
        <v>1000</v>
      </c>
      <c r="J100">
        <v>97</v>
      </c>
      <c r="K100">
        <v>145500</v>
      </c>
      <c r="L100" t="e">
        <f>VLOOKUP(E100,Sheet1!A99:I160,1,0)</f>
        <v>#N/A</v>
      </c>
    </row>
    <row r="101" spans="1:12">
      <c r="A101" t="s">
        <v>307</v>
      </c>
      <c r="B101">
        <v>171177816</v>
      </c>
      <c r="C101" s="1" t="s">
        <v>308</v>
      </c>
      <c r="D101">
        <v>25000</v>
      </c>
      <c r="E101" t="s">
        <v>309</v>
      </c>
      <c r="F101">
        <v>106</v>
      </c>
      <c r="G101">
        <v>171116192</v>
      </c>
      <c r="H101">
        <v>1500</v>
      </c>
      <c r="I101">
        <v>1000</v>
      </c>
      <c r="J101">
        <v>15</v>
      </c>
      <c r="K101">
        <v>22500</v>
      </c>
      <c r="L101" t="e">
        <f>VLOOKUP(E101,Sheet1!A100:I161,1,0)</f>
        <v>#N/A</v>
      </c>
    </row>
    <row r="102" spans="1:12">
      <c r="A102" t="s">
        <v>310</v>
      </c>
      <c r="B102">
        <v>171177833</v>
      </c>
      <c r="C102" s="1" t="s">
        <v>311</v>
      </c>
      <c r="D102">
        <v>628200</v>
      </c>
      <c r="E102" t="s">
        <v>312</v>
      </c>
      <c r="F102">
        <v>123</v>
      </c>
      <c r="G102">
        <v>171116208</v>
      </c>
      <c r="H102">
        <v>39200</v>
      </c>
      <c r="I102">
        <v>1000</v>
      </c>
      <c r="J102">
        <v>392</v>
      </c>
      <c r="K102">
        <v>588000</v>
      </c>
      <c r="L102" t="e">
        <f>VLOOKUP(E102,Sheet1!A101:I162,1,0)</f>
        <v>#N/A</v>
      </c>
    </row>
    <row r="103" spans="1:12">
      <c r="A103" t="s">
        <v>313</v>
      </c>
      <c r="B103">
        <v>171177959</v>
      </c>
      <c r="C103" s="1" t="s">
        <v>314</v>
      </c>
      <c r="D103">
        <v>157800</v>
      </c>
      <c r="E103" t="s">
        <v>315</v>
      </c>
      <c r="F103">
        <v>249</v>
      </c>
      <c r="G103">
        <v>171117015</v>
      </c>
      <c r="H103">
        <v>9800</v>
      </c>
      <c r="I103">
        <v>1000</v>
      </c>
      <c r="J103">
        <v>98</v>
      </c>
      <c r="K103">
        <v>147000</v>
      </c>
      <c r="L103" t="e">
        <f>VLOOKUP(E103,Sheet1!A102:I163,1,0)</f>
        <v>#N/A</v>
      </c>
    </row>
    <row r="104" spans="1:12">
      <c r="A104" t="s">
        <v>316</v>
      </c>
      <c r="B104">
        <v>171178322</v>
      </c>
      <c r="C104" s="1" t="s">
        <v>317</v>
      </c>
      <c r="D104">
        <v>789800</v>
      </c>
      <c r="E104" t="s">
        <v>318</v>
      </c>
      <c r="F104">
        <v>299</v>
      </c>
      <c r="G104">
        <v>171117062</v>
      </c>
      <c r="H104">
        <v>49300</v>
      </c>
      <c r="I104">
        <v>1000</v>
      </c>
      <c r="J104">
        <v>493</v>
      </c>
      <c r="K104">
        <v>739500</v>
      </c>
      <c r="L104" t="e">
        <f>VLOOKUP(E104,Sheet1!A103:I164,1,0)</f>
        <v>#N/A</v>
      </c>
    </row>
    <row r="105" spans="1:12">
      <c r="A105" t="s">
        <v>319</v>
      </c>
      <c r="B105">
        <v>171177999</v>
      </c>
      <c r="C105" s="1" t="s">
        <v>320</v>
      </c>
      <c r="D105">
        <v>172200</v>
      </c>
      <c r="E105" t="s">
        <v>321</v>
      </c>
      <c r="F105">
        <v>289</v>
      </c>
      <c r="G105">
        <v>171117053</v>
      </c>
      <c r="H105">
        <v>10700</v>
      </c>
      <c r="I105">
        <v>1000</v>
      </c>
      <c r="J105">
        <v>107</v>
      </c>
      <c r="K105">
        <v>160500</v>
      </c>
      <c r="L105" t="e">
        <f>VLOOKUP(E105,Sheet1!A104:I165,1,0)</f>
        <v>#N/A</v>
      </c>
    </row>
    <row r="106" spans="1:12">
      <c r="A106" t="s">
        <v>322</v>
      </c>
      <c r="B106">
        <v>171177720</v>
      </c>
      <c r="C106" s="1" t="s">
        <v>323</v>
      </c>
      <c r="D106">
        <v>249000</v>
      </c>
      <c r="E106" t="s">
        <v>324</v>
      </c>
      <c r="F106">
        <v>10</v>
      </c>
      <c r="G106">
        <v>171116102</v>
      </c>
      <c r="H106">
        <v>15500</v>
      </c>
      <c r="I106">
        <v>1000</v>
      </c>
      <c r="J106">
        <v>155</v>
      </c>
      <c r="K106">
        <v>232500</v>
      </c>
      <c r="L106" t="e">
        <f>VLOOKUP(E106,Sheet1!A105:I166,1,0)</f>
        <v>#N/A</v>
      </c>
    </row>
    <row r="107" spans="1:12">
      <c r="A107" t="s">
        <v>325</v>
      </c>
      <c r="B107">
        <v>171177762</v>
      </c>
      <c r="C107" s="1" t="s">
        <v>326</v>
      </c>
      <c r="D107">
        <v>333800</v>
      </c>
      <c r="E107" t="s">
        <v>327</v>
      </c>
      <c r="F107">
        <v>52</v>
      </c>
      <c r="G107">
        <v>171116142</v>
      </c>
      <c r="H107">
        <v>20800</v>
      </c>
      <c r="I107">
        <v>1000</v>
      </c>
      <c r="J107">
        <v>208</v>
      </c>
      <c r="K107">
        <v>312000</v>
      </c>
      <c r="L107" t="e">
        <f>VLOOKUP(E107,Sheet1!A106:I167,1,0)</f>
        <v>#N/A</v>
      </c>
    </row>
    <row r="108" spans="1:12">
      <c r="A108" t="s">
        <v>328</v>
      </c>
      <c r="B108">
        <v>171177767</v>
      </c>
      <c r="C108" s="1" t="s">
        <v>329</v>
      </c>
      <c r="D108">
        <v>935400</v>
      </c>
      <c r="E108" t="s">
        <v>330</v>
      </c>
      <c r="F108">
        <v>57</v>
      </c>
      <c r="G108">
        <v>171116147</v>
      </c>
      <c r="H108">
        <v>58400</v>
      </c>
      <c r="I108">
        <v>1000</v>
      </c>
      <c r="J108">
        <v>584</v>
      </c>
      <c r="K108">
        <v>876000</v>
      </c>
      <c r="L108" t="e">
        <f>VLOOKUP(E108,Sheet1!A107:I168,1,0)</f>
        <v>#N/A</v>
      </c>
    </row>
    <row r="109" spans="1:12">
      <c r="A109" t="s">
        <v>331</v>
      </c>
      <c r="B109">
        <v>171177911</v>
      </c>
      <c r="C109" s="1" t="s">
        <v>332</v>
      </c>
      <c r="D109">
        <v>332200</v>
      </c>
      <c r="E109" t="s">
        <v>333</v>
      </c>
      <c r="F109">
        <v>201</v>
      </c>
      <c r="G109">
        <v>171116971</v>
      </c>
      <c r="H109">
        <v>20700</v>
      </c>
      <c r="I109">
        <v>1000</v>
      </c>
      <c r="J109">
        <v>207</v>
      </c>
      <c r="K109">
        <v>310500</v>
      </c>
      <c r="L109" t="e">
        <f>VLOOKUP(E109,Sheet1!A108:I169,1,0)</f>
        <v>#N/A</v>
      </c>
    </row>
    <row r="110" spans="1:12">
      <c r="A110" t="s">
        <v>334</v>
      </c>
      <c r="B110">
        <v>171177977</v>
      </c>
      <c r="C110" s="1" t="s">
        <v>335</v>
      </c>
      <c r="D110">
        <v>196200</v>
      </c>
      <c r="E110" t="s">
        <v>336</v>
      </c>
      <c r="F110">
        <v>267</v>
      </c>
      <c r="G110">
        <v>171117032</v>
      </c>
      <c r="H110">
        <v>12200</v>
      </c>
      <c r="I110">
        <v>1000</v>
      </c>
      <c r="J110">
        <v>122</v>
      </c>
      <c r="K110">
        <v>183000</v>
      </c>
      <c r="L110" t="e">
        <f>VLOOKUP(E110,Sheet1!A109:I170,1,0)</f>
        <v>#N/A</v>
      </c>
    </row>
    <row r="111" spans="1:12">
      <c r="A111" t="s">
        <v>337</v>
      </c>
      <c r="B111">
        <v>171177874</v>
      </c>
      <c r="C111" s="1" t="s">
        <v>338</v>
      </c>
      <c r="D111">
        <v>180200</v>
      </c>
      <c r="E111" t="s">
        <v>339</v>
      </c>
      <c r="F111">
        <v>164</v>
      </c>
      <c r="G111">
        <v>171116938</v>
      </c>
      <c r="H111">
        <v>11200</v>
      </c>
      <c r="I111">
        <v>1000</v>
      </c>
      <c r="J111">
        <v>112</v>
      </c>
      <c r="K111">
        <v>168000</v>
      </c>
      <c r="L111" t="e">
        <f>VLOOKUP(E111,Sheet1!A110:I171,1,0)</f>
        <v>#N/A</v>
      </c>
    </row>
    <row r="112" spans="1:12">
      <c r="A112" t="s">
        <v>340</v>
      </c>
      <c r="B112">
        <v>171177990</v>
      </c>
      <c r="C112" s="1" t="s">
        <v>341</v>
      </c>
      <c r="D112">
        <v>135400</v>
      </c>
      <c r="E112" t="s">
        <v>342</v>
      </c>
      <c r="F112">
        <v>280</v>
      </c>
      <c r="G112">
        <v>171117045</v>
      </c>
      <c r="H112">
        <v>8400</v>
      </c>
      <c r="I112">
        <v>1000</v>
      </c>
      <c r="J112">
        <v>84</v>
      </c>
      <c r="K112">
        <v>126000</v>
      </c>
      <c r="L112" t="e">
        <f>VLOOKUP(E112,Sheet1!A111:I172,1,0)</f>
        <v>#N/A</v>
      </c>
    </row>
    <row r="113" spans="1:12">
      <c r="A113" t="s">
        <v>343</v>
      </c>
      <c r="B113">
        <v>171177804</v>
      </c>
      <c r="C113" s="1" t="s">
        <v>344</v>
      </c>
      <c r="D113">
        <v>687400</v>
      </c>
      <c r="E113" t="s">
        <v>345</v>
      </c>
      <c r="F113">
        <v>94</v>
      </c>
      <c r="G113">
        <v>171116181</v>
      </c>
      <c r="H113">
        <v>42900</v>
      </c>
      <c r="I113">
        <v>1000</v>
      </c>
      <c r="J113">
        <v>429</v>
      </c>
      <c r="K113">
        <v>643500</v>
      </c>
      <c r="L113" t="e">
        <f>VLOOKUP(E113,Sheet1!A112:I173,1,0)</f>
        <v>#N/A</v>
      </c>
    </row>
    <row r="114" spans="1:12">
      <c r="A114" t="s">
        <v>346</v>
      </c>
      <c r="B114">
        <v>171177793</v>
      </c>
      <c r="C114" s="1" t="s">
        <v>347</v>
      </c>
      <c r="D114">
        <v>172200</v>
      </c>
      <c r="E114" t="s">
        <v>348</v>
      </c>
      <c r="F114">
        <v>83</v>
      </c>
      <c r="G114">
        <v>171116171</v>
      </c>
      <c r="H114">
        <v>10700</v>
      </c>
      <c r="I114">
        <v>1000</v>
      </c>
      <c r="J114">
        <v>107</v>
      </c>
      <c r="K114">
        <v>160500</v>
      </c>
      <c r="L114" t="e">
        <f>VLOOKUP(E114,Sheet1!A113:I174,1,0)</f>
        <v>#N/A</v>
      </c>
    </row>
    <row r="115" spans="1:12">
      <c r="A115" t="s">
        <v>349</v>
      </c>
      <c r="B115">
        <v>171177806</v>
      </c>
      <c r="C115" s="1" t="s">
        <v>350</v>
      </c>
      <c r="D115">
        <v>135400</v>
      </c>
      <c r="E115" t="s">
        <v>351</v>
      </c>
      <c r="F115">
        <v>96</v>
      </c>
      <c r="G115">
        <v>171116183</v>
      </c>
      <c r="H115">
        <v>8400</v>
      </c>
      <c r="I115">
        <v>1000</v>
      </c>
      <c r="J115">
        <v>84</v>
      </c>
      <c r="K115">
        <v>126000</v>
      </c>
      <c r="L115" t="e">
        <f>VLOOKUP(E115,Sheet1!A114:I175,1,0)</f>
        <v>#N/A</v>
      </c>
    </row>
    <row r="116" spans="1:12">
      <c r="A116" t="s">
        <v>352</v>
      </c>
      <c r="B116">
        <v>171177799</v>
      </c>
      <c r="C116" s="1" t="s">
        <v>353</v>
      </c>
      <c r="D116">
        <v>1487400</v>
      </c>
      <c r="E116" t="s">
        <v>354</v>
      </c>
      <c r="F116">
        <v>89</v>
      </c>
      <c r="G116">
        <v>171116176</v>
      </c>
      <c r="H116">
        <v>92900</v>
      </c>
      <c r="I116">
        <v>1000</v>
      </c>
      <c r="J116">
        <v>929</v>
      </c>
      <c r="K116">
        <v>1393500</v>
      </c>
      <c r="L116" t="e">
        <f>VLOOKUP(E116,Sheet1!A115:I176,1,0)</f>
        <v>#N/A</v>
      </c>
    </row>
    <row r="117" spans="1:12">
      <c r="A117" t="s">
        <v>355</v>
      </c>
      <c r="B117">
        <v>171178007</v>
      </c>
      <c r="C117" s="1" t="s">
        <v>356</v>
      </c>
      <c r="D117">
        <v>349800</v>
      </c>
      <c r="E117" t="s">
        <v>357</v>
      </c>
      <c r="F117">
        <v>297</v>
      </c>
      <c r="G117">
        <v>171117060</v>
      </c>
      <c r="H117">
        <v>21800</v>
      </c>
      <c r="I117">
        <v>1000</v>
      </c>
      <c r="J117">
        <v>218</v>
      </c>
      <c r="K117">
        <v>327000</v>
      </c>
      <c r="L117" t="e">
        <f>VLOOKUP(E117,Sheet1!A116:I177,1,0)</f>
        <v>#N/A</v>
      </c>
    </row>
    <row r="118" spans="1:12">
      <c r="A118" t="s">
        <v>358</v>
      </c>
      <c r="B118">
        <v>171177837</v>
      </c>
      <c r="C118" s="1" t="s">
        <v>359</v>
      </c>
      <c r="D118">
        <v>585000</v>
      </c>
      <c r="E118" t="s">
        <v>360</v>
      </c>
      <c r="F118">
        <v>127</v>
      </c>
      <c r="G118">
        <v>171116212</v>
      </c>
      <c r="H118">
        <v>36500</v>
      </c>
      <c r="I118">
        <v>1000</v>
      </c>
      <c r="J118">
        <v>365</v>
      </c>
      <c r="K118">
        <v>547500</v>
      </c>
      <c r="L118" t="e">
        <f>VLOOKUP(E118,Sheet1!A117:I178,1,0)</f>
        <v>#N/A</v>
      </c>
    </row>
    <row r="119" spans="1:12">
      <c r="A119" t="s">
        <v>361</v>
      </c>
      <c r="B119">
        <v>171177742</v>
      </c>
      <c r="C119" s="1" t="s">
        <v>362</v>
      </c>
      <c r="D119">
        <v>196200</v>
      </c>
      <c r="E119" t="s">
        <v>363</v>
      </c>
      <c r="F119">
        <v>32</v>
      </c>
      <c r="G119">
        <v>171116123</v>
      </c>
      <c r="H119">
        <v>12200</v>
      </c>
      <c r="I119">
        <v>1000</v>
      </c>
      <c r="J119">
        <v>122</v>
      </c>
      <c r="K119">
        <v>183000</v>
      </c>
      <c r="L119" t="e">
        <f>VLOOKUP(E119,Sheet1!A118:I179,1,0)</f>
        <v>#N/A</v>
      </c>
    </row>
    <row r="120" spans="1:12">
      <c r="A120" t="s">
        <v>364</v>
      </c>
      <c r="B120">
        <v>171177952</v>
      </c>
      <c r="C120" s="1" t="s">
        <v>365</v>
      </c>
      <c r="D120">
        <v>53800</v>
      </c>
      <c r="E120" t="s">
        <v>366</v>
      </c>
      <c r="F120">
        <v>242</v>
      </c>
      <c r="G120">
        <v>171117008</v>
      </c>
      <c r="H120">
        <v>3300</v>
      </c>
      <c r="I120">
        <v>1000</v>
      </c>
      <c r="J120">
        <v>33</v>
      </c>
      <c r="K120">
        <v>49500</v>
      </c>
      <c r="L120" t="e">
        <f>VLOOKUP(E120,Sheet1!A119:I180,1,0)</f>
        <v>#N/A</v>
      </c>
    </row>
    <row r="121" spans="1:12">
      <c r="A121" t="s">
        <v>367</v>
      </c>
      <c r="B121">
        <v>171178002</v>
      </c>
      <c r="C121" s="1" t="s">
        <v>368</v>
      </c>
      <c r="D121">
        <v>74600</v>
      </c>
      <c r="E121" t="s">
        <v>369</v>
      </c>
      <c r="F121">
        <v>292</v>
      </c>
      <c r="G121">
        <v>171117055</v>
      </c>
      <c r="H121">
        <v>4600</v>
      </c>
      <c r="I121">
        <v>1000</v>
      </c>
      <c r="J121">
        <v>46</v>
      </c>
      <c r="K121">
        <v>69000</v>
      </c>
      <c r="L121" t="e">
        <f>VLOOKUP(E121,Sheet1!A120:I181,1,0)</f>
        <v>#N/A</v>
      </c>
    </row>
    <row r="122" spans="1:12">
      <c r="A122" t="s">
        <v>370</v>
      </c>
      <c r="B122">
        <v>171177819</v>
      </c>
      <c r="C122" s="1" t="s">
        <v>371</v>
      </c>
      <c r="D122">
        <v>159400</v>
      </c>
      <c r="E122" t="s">
        <v>372</v>
      </c>
      <c r="F122">
        <v>109</v>
      </c>
      <c r="G122">
        <v>171116195</v>
      </c>
      <c r="H122">
        <v>9900</v>
      </c>
      <c r="I122">
        <v>1000</v>
      </c>
      <c r="J122">
        <v>99</v>
      </c>
      <c r="K122">
        <v>148500</v>
      </c>
      <c r="L122" t="e">
        <f>VLOOKUP(E122,Sheet1!A121:I182,1,0)</f>
        <v>#N/A</v>
      </c>
    </row>
    <row r="123" spans="1:12">
      <c r="A123" t="s">
        <v>373</v>
      </c>
      <c r="B123">
        <v>171177946</v>
      </c>
      <c r="C123" s="1" t="s">
        <v>374</v>
      </c>
      <c r="D123">
        <v>170600</v>
      </c>
      <c r="E123" t="s">
        <v>375</v>
      </c>
      <c r="F123">
        <v>236</v>
      </c>
      <c r="G123">
        <v>171117003</v>
      </c>
      <c r="H123">
        <v>10600</v>
      </c>
      <c r="I123">
        <v>1000</v>
      </c>
      <c r="J123">
        <v>106</v>
      </c>
      <c r="K123">
        <v>159000</v>
      </c>
      <c r="L123" t="e">
        <f>VLOOKUP(E123,Sheet1!A122:I183,1,0)</f>
        <v>#N/A</v>
      </c>
    </row>
    <row r="124" spans="1:12">
      <c r="A124" t="s">
        <v>376</v>
      </c>
      <c r="B124">
        <v>171177778</v>
      </c>
      <c r="C124" s="1" t="s">
        <v>377</v>
      </c>
      <c r="D124">
        <v>757800</v>
      </c>
      <c r="E124" t="s">
        <v>378</v>
      </c>
      <c r="F124">
        <v>68</v>
      </c>
      <c r="G124">
        <v>171116157</v>
      </c>
      <c r="H124">
        <v>47300</v>
      </c>
      <c r="I124">
        <v>1000</v>
      </c>
      <c r="J124">
        <v>473</v>
      </c>
      <c r="K124">
        <v>709500</v>
      </c>
      <c r="L124" t="e">
        <f>VLOOKUP(E124,Sheet1!A123:I184,1,0)</f>
        <v>#N/A</v>
      </c>
    </row>
    <row r="125" spans="1:12">
      <c r="A125" t="s">
        <v>379</v>
      </c>
      <c r="B125">
        <v>171177836</v>
      </c>
      <c r="C125" s="1" t="s">
        <v>380</v>
      </c>
      <c r="D125">
        <v>65000</v>
      </c>
      <c r="E125" t="s">
        <v>381</v>
      </c>
      <c r="F125">
        <v>126</v>
      </c>
      <c r="G125">
        <v>171116211</v>
      </c>
      <c r="H125">
        <v>4000</v>
      </c>
      <c r="I125">
        <v>1000</v>
      </c>
      <c r="J125">
        <v>40</v>
      </c>
      <c r="K125">
        <v>60000</v>
      </c>
      <c r="L125" t="e">
        <f>VLOOKUP(E125,Sheet1!A124:I185,1,0)</f>
        <v>#N/A</v>
      </c>
    </row>
    <row r="126" spans="1:12">
      <c r="A126" t="s">
        <v>382</v>
      </c>
      <c r="B126">
        <v>171177795</v>
      </c>
      <c r="C126" s="1" t="s">
        <v>383</v>
      </c>
      <c r="D126">
        <v>1205800</v>
      </c>
      <c r="E126" t="s">
        <v>384</v>
      </c>
      <c r="F126">
        <v>85</v>
      </c>
      <c r="G126">
        <v>171116173</v>
      </c>
      <c r="H126">
        <v>75300</v>
      </c>
      <c r="I126">
        <v>1000</v>
      </c>
      <c r="J126">
        <v>753</v>
      </c>
      <c r="K126">
        <v>1129500</v>
      </c>
      <c r="L126" t="e">
        <f>VLOOKUP(E126,Sheet1!A125:I186,1,0)</f>
        <v>#N/A</v>
      </c>
    </row>
    <row r="127" spans="1:12">
      <c r="A127" t="s">
        <v>385</v>
      </c>
      <c r="B127">
        <v>171177846</v>
      </c>
      <c r="C127" s="1" t="s">
        <v>386</v>
      </c>
      <c r="D127">
        <v>861800</v>
      </c>
      <c r="E127" t="s">
        <v>387</v>
      </c>
      <c r="F127">
        <v>136</v>
      </c>
      <c r="G127">
        <v>171116911</v>
      </c>
      <c r="H127">
        <v>53800</v>
      </c>
      <c r="I127">
        <v>1000</v>
      </c>
      <c r="J127">
        <v>538</v>
      </c>
      <c r="K127">
        <v>807000</v>
      </c>
      <c r="L127" t="e">
        <f>VLOOKUP(E127,Sheet1!A126:I187,1,0)</f>
        <v>#N/A</v>
      </c>
    </row>
    <row r="128" spans="1:12">
      <c r="A128" t="s">
        <v>388</v>
      </c>
      <c r="B128">
        <v>171177731</v>
      </c>
      <c r="C128" s="1" t="s">
        <v>389</v>
      </c>
      <c r="D128">
        <v>1833000</v>
      </c>
      <c r="E128" t="s">
        <v>390</v>
      </c>
      <c r="F128">
        <v>21</v>
      </c>
      <c r="G128">
        <v>171116112</v>
      </c>
      <c r="H128">
        <v>114500</v>
      </c>
      <c r="I128">
        <v>1000</v>
      </c>
      <c r="J128">
        <v>1145</v>
      </c>
      <c r="K128">
        <v>1717500</v>
      </c>
      <c r="L128" t="e">
        <f>VLOOKUP(E128,Sheet1!A127:I188,1,0)</f>
        <v>#N/A</v>
      </c>
    </row>
    <row r="129" spans="1:12">
      <c r="A129" t="s">
        <v>391</v>
      </c>
      <c r="B129">
        <v>171177826</v>
      </c>
      <c r="C129" s="1" t="s">
        <v>392</v>
      </c>
      <c r="D129">
        <v>44200</v>
      </c>
      <c r="E129" t="s">
        <v>393</v>
      </c>
      <c r="F129">
        <v>116</v>
      </c>
      <c r="G129">
        <v>171116202</v>
      </c>
      <c r="H129">
        <v>2700</v>
      </c>
      <c r="I129">
        <v>1000</v>
      </c>
      <c r="J129">
        <v>27</v>
      </c>
      <c r="K129">
        <v>40500</v>
      </c>
      <c r="L129" t="e">
        <f>VLOOKUP(E129,Sheet1!A128:I189,1,0)</f>
        <v>#N/A</v>
      </c>
    </row>
    <row r="130" spans="1:12">
      <c r="A130" t="s">
        <v>394</v>
      </c>
      <c r="B130">
        <v>171177805</v>
      </c>
      <c r="C130" s="1" t="s">
        <v>395</v>
      </c>
      <c r="D130">
        <v>361000</v>
      </c>
      <c r="E130" t="s">
        <v>396</v>
      </c>
      <c r="F130">
        <v>95</v>
      </c>
      <c r="G130">
        <v>171116182</v>
      </c>
      <c r="H130">
        <v>22500</v>
      </c>
      <c r="I130">
        <v>1000</v>
      </c>
      <c r="J130">
        <v>225</v>
      </c>
      <c r="K130">
        <v>337500</v>
      </c>
      <c r="L130" t="e">
        <f>VLOOKUP(E130,Sheet1!A129:I190,1,0)</f>
        <v>#N/A</v>
      </c>
    </row>
    <row r="131" spans="1:12">
      <c r="A131" t="s">
        <v>397</v>
      </c>
      <c r="B131">
        <v>171177913</v>
      </c>
      <c r="C131" s="1" t="s">
        <v>398</v>
      </c>
      <c r="D131">
        <v>105000</v>
      </c>
      <c r="E131" t="s">
        <v>399</v>
      </c>
      <c r="F131">
        <v>203</v>
      </c>
      <c r="G131">
        <v>171116973</v>
      </c>
      <c r="H131">
        <v>6500</v>
      </c>
      <c r="I131">
        <v>1000</v>
      </c>
      <c r="J131">
        <v>65</v>
      </c>
      <c r="K131">
        <v>97500</v>
      </c>
      <c r="L131" t="e">
        <f>VLOOKUP(E131,Sheet1!A130:I191,1,0)</f>
        <v>#N/A</v>
      </c>
    </row>
    <row r="132" spans="1:12">
      <c r="A132" t="s">
        <v>400</v>
      </c>
      <c r="B132">
        <v>171177802</v>
      </c>
      <c r="C132" s="1" t="s">
        <v>401</v>
      </c>
      <c r="D132">
        <v>589800</v>
      </c>
      <c r="E132" t="s">
        <v>402</v>
      </c>
      <c r="F132">
        <v>92</v>
      </c>
      <c r="G132">
        <v>171116179</v>
      </c>
      <c r="H132">
        <v>36800</v>
      </c>
      <c r="I132">
        <v>1000</v>
      </c>
      <c r="J132">
        <v>368</v>
      </c>
      <c r="K132">
        <v>552000</v>
      </c>
      <c r="L132" t="e">
        <f>VLOOKUP(E132,Sheet1!A131:I192,1,0)</f>
        <v>#N/A</v>
      </c>
    </row>
    <row r="133" spans="1:12">
      <c r="A133" t="s">
        <v>403</v>
      </c>
      <c r="B133">
        <v>171177854</v>
      </c>
      <c r="C133" s="1" t="s">
        <v>404</v>
      </c>
      <c r="D133">
        <v>157800</v>
      </c>
      <c r="E133" t="s">
        <v>405</v>
      </c>
      <c r="F133">
        <v>144</v>
      </c>
      <c r="G133">
        <v>171116919</v>
      </c>
      <c r="H133">
        <v>9800</v>
      </c>
      <c r="I133">
        <v>1000</v>
      </c>
      <c r="J133">
        <v>98</v>
      </c>
      <c r="K133">
        <v>147000</v>
      </c>
      <c r="L133" t="e">
        <f>VLOOKUP(E133,Sheet1!A132:I193,1,0)</f>
        <v>#N/A</v>
      </c>
    </row>
    <row r="134" spans="1:12">
      <c r="A134" t="s">
        <v>406</v>
      </c>
      <c r="B134">
        <v>171177823</v>
      </c>
      <c r="C134" s="1" t="s">
        <v>407</v>
      </c>
      <c r="D134">
        <v>231400</v>
      </c>
      <c r="E134" t="s">
        <v>408</v>
      </c>
      <c r="F134">
        <v>113</v>
      </c>
      <c r="G134">
        <v>171116199</v>
      </c>
      <c r="H134">
        <v>14400</v>
      </c>
      <c r="I134">
        <v>1000</v>
      </c>
      <c r="J134">
        <v>144</v>
      </c>
      <c r="K134">
        <v>216000</v>
      </c>
      <c r="L134" t="e">
        <f>VLOOKUP(E134,Sheet1!A133:I194,1,0)</f>
        <v>#N/A</v>
      </c>
    </row>
    <row r="135" spans="1:12">
      <c r="A135" t="s">
        <v>409</v>
      </c>
      <c r="B135">
        <v>171177901</v>
      </c>
      <c r="C135" s="1" t="s">
        <v>410</v>
      </c>
      <c r="D135">
        <v>402600</v>
      </c>
      <c r="E135" t="s">
        <v>411</v>
      </c>
      <c r="F135">
        <v>191</v>
      </c>
      <c r="G135">
        <v>171116963</v>
      </c>
      <c r="H135">
        <v>25100</v>
      </c>
      <c r="I135">
        <v>1000</v>
      </c>
      <c r="J135">
        <v>251</v>
      </c>
      <c r="K135">
        <v>376500</v>
      </c>
      <c r="L135" t="e">
        <f>VLOOKUP(E135,Sheet1!A134:I195,1,0)</f>
        <v>#N/A</v>
      </c>
    </row>
    <row r="136" spans="1:12">
      <c r="A136" t="s">
        <v>412</v>
      </c>
      <c r="B136">
        <v>171177907</v>
      </c>
      <c r="C136" s="1" t="s">
        <v>413</v>
      </c>
      <c r="D136">
        <v>306600</v>
      </c>
      <c r="E136" t="s">
        <v>414</v>
      </c>
      <c r="F136">
        <v>197</v>
      </c>
      <c r="G136">
        <v>171116968</v>
      </c>
      <c r="H136">
        <v>19100</v>
      </c>
      <c r="I136">
        <v>1000</v>
      </c>
      <c r="J136">
        <v>191</v>
      </c>
      <c r="K136">
        <v>286500</v>
      </c>
      <c r="L136" t="e">
        <f>VLOOKUP(E136,Sheet1!A135:I196,1,0)</f>
        <v>#N/A</v>
      </c>
    </row>
    <row r="137" spans="1:12">
      <c r="A137" t="s">
        <v>415</v>
      </c>
      <c r="B137">
        <v>171178321</v>
      </c>
      <c r="C137" s="1" t="s">
        <v>416</v>
      </c>
      <c r="D137">
        <v>93800</v>
      </c>
      <c r="E137" t="s">
        <v>417</v>
      </c>
      <c r="F137">
        <v>293</v>
      </c>
      <c r="G137">
        <v>171117056</v>
      </c>
      <c r="H137">
        <v>5800</v>
      </c>
      <c r="I137">
        <v>1000</v>
      </c>
      <c r="J137">
        <v>58</v>
      </c>
      <c r="K137">
        <v>87000</v>
      </c>
      <c r="L137" t="e">
        <f>VLOOKUP(E137,Sheet1!A136:I197,1,0)</f>
        <v>#N/A</v>
      </c>
    </row>
    <row r="138" spans="1:12">
      <c r="A138" t="s">
        <v>418</v>
      </c>
      <c r="B138">
        <v>171177893</v>
      </c>
      <c r="C138" s="1" t="s">
        <v>419</v>
      </c>
      <c r="D138">
        <v>460200</v>
      </c>
      <c r="E138" t="s">
        <v>420</v>
      </c>
      <c r="F138">
        <v>183</v>
      </c>
      <c r="G138">
        <v>171116955</v>
      </c>
      <c r="H138">
        <v>28700</v>
      </c>
      <c r="I138">
        <v>1000</v>
      </c>
      <c r="J138">
        <v>287</v>
      </c>
      <c r="K138">
        <v>430500</v>
      </c>
      <c r="L138" t="e">
        <f>VLOOKUP(E138,Sheet1!A137:I198,1,0)</f>
        <v>#N/A</v>
      </c>
    </row>
    <row r="139" spans="1:12">
      <c r="A139" t="s">
        <v>421</v>
      </c>
      <c r="B139">
        <v>171177923</v>
      </c>
      <c r="C139" s="1" t="s">
        <v>422</v>
      </c>
      <c r="D139">
        <v>324200</v>
      </c>
      <c r="E139" t="s">
        <v>423</v>
      </c>
      <c r="F139">
        <v>213</v>
      </c>
      <c r="G139">
        <v>171116982</v>
      </c>
      <c r="H139">
        <v>20200</v>
      </c>
      <c r="I139">
        <v>1000</v>
      </c>
      <c r="J139">
        <v>202</v>
      </c>
      <c r="K139">
        <v>303000</v>
      </c>
      <c r="L139" t="e">
        <f>VLOOKUP(E139,Sheet1!A138:I199,1,0)</f>
        <v>#N/A</v>
      </c>
    </row>
    <row r="140" spans="1:12">
      <c r="A140" t="s">
        <v>424</v>
      </c>
      <c r="B140">
        <v>171177744</v>
      </c>
      <c r="C140" s="1" t="s">
        <v>425</v>
      </c>
      <c r="D140">
        <v>258600</v>
      </c>
      <c r="E140" t="s">
        <v>426</v>
      </c>
      <c r="F140">
        <v>34</v>
      </c>
      <c r="G140">
        <v>171116125</v>
      </c>
      <c r="H140">
        <v>16100</v>
      </c>
      <c r="I140">
        <v>1000</v>
      </c>
      <c r="J140">
        <v>161</v>
      </c>
      <c r="K140">
        <v>241500</v>
      </c>
      <c r="L140" t="e">
        <f>VLOOKUP(E140,Sheet1!A139:I200,1,0)</f>
        <v>#N/A</v>
      </c>
    </row>
    <row r="141" spans="1:12">
      <c r="A141" t="s">
        <v>427</v>
      </c>
      <c r="B141">
        <v>171177965</v>
      </c>
      <c r="C141" s="1" t="s">
        <v>428</v>
      </c>
      <c r="D141">
        <v>236200</v>
      </c>
      <c r="E141" t="s">
        <v>429</v>
      </c>
      <c r="F141">
        <v>255</v>
      </c>
      <c r="G141">
        <v>171117021</v>
      </c>
      <c r="H141">
        <v>14700</v>
      </c>
      <c r="I141">
        <v>1000</v>
      </c>
      <c r="J141">
        <v>147</v>
      </c>
      <c r="K141">
        <v>220500</v>
      </c>
      <c r="L141" t="e">
        <f>VLOOKUP(E141,Sheet1!A140:I201,1,0)</f>
        <v>#N/A</v>
      </c>
    </row>
    <row r="142" spans="1:12">
      <c r="A142" t="s">
        <v>430</v>
      </c>
      <c r="B142">
        <v>171177888</v>
      </c>
      <c r="C142" s="1" t="s">
        <v>431</v>
      </c>
      <c r="D142">
        <v>36200</v>
      </c>
      <c r="E142" t="s">
        <v>432</v>
      </c>
      <c r="F142">
        <v>178</v>
      </c>
      <c r="G142">
        <v>171116950</v>
      </c>
      <c r="H142">
        <v>2200</v>
      </c>
      <c r="I142">
        <v>1000</v>
      </c>
      <c r="J142">
        <v>22</v>
      </c>
      <c r="K142">
        <v>33000</v>
      </c>
      <c r="L142" t="e">
        <f>VLOOKUP(E142,Sheet1!A141:I202,1,0)</f>
        <v>#N/A</v>
      </c>
    </row>
    <row r="143" spans="1:12">
      <c r="A143" t="s">
        <v>433</v>
      </c>
      <c r="B143">
        <v>171177982</v>
      </c>
      <c r="C143" s="1" t="s">
        <v>434</v>
      </c>
      <c r="D143">
        <v>674600</v>
      </c>
      <c r="E143" t="s">
        <v>435</v>
      </c>
      <c r="F143">
        <v>272</v>
      </c>
      <c r="G143">
        <v>171117037</v>
      </c>
      <c r="H143">
        <v>42100</v>
      </c>
      <c r="I143">
        <v>1000</v>
      </c>
      <c r="J143">
        <v>421</v>
      </c>
      <c r="K143">
        <v>631500</v>
      </c>
      <c r="L143" t="e">
        <f>VLOOKUP(E143,Sheet1!A142:I203,1,0)</f>
        <v>#N/A</v>
      </c>
    </row>
    <row r="144" spans="1:12">
      <c r="A144" t="s">
        <v>436</v>
      </c>
      <c r="B144">
        <v>171177971</v>
      </c>
      <c r="C144" s="1" t="s">
        <v>437</v>
      </c>
      <c r="D144">
        <v>69800</v>
      </c>
      <c r="E144" t="s">
        <v>438</v>
      </c>
      <c r="F144">
        <v>261</v>
      </c>
      <c r="G144">
        <v>171117027</v>
      </c>
      <c r="H144">
        <v>4300</v>
      </c>
      <c r="I144">
        <v>1000</v>
      </c>
      <c r="J144">
        <v>43</v>
      </c>
      <c r="K144">
        <v>64500</v>
      </c>
      <c r="L144" t="e">
        <f>VLOOKUP(E144,Sheet1!A143:I204,1,0)</f>
        <v>#N/A</v>
      </c>
    </row>
    <row r="145" spans="1:12">
      <c r="A145" t="s">
        <v>439</v>
      </c>
      <c r="B145">
        <v>171177722</v>
      </c>
      <c r="C145" s="1" t="s">
        <v>440</v>
      </c>
      <c r="D145">
        <v>28200</v>
      </c>
      <c r="E145" t="s">
        <v>441</v>
      </c>
      <c r="F145">
        <v>12</v>
      </c>
      <c r="G145">
        <v>171116104</v>
      </c>
      <c r="H145">
        <v>1700</v>
      </c>
      <c r="I145">
        <v>1000</v>
      </c>
      <c r="J145">
        <v>17</v>
      </c>
      <c r="K145">
        <v>25500</v>
      </c>
      <c r="L145" t="e">
        <f>VLOOKUP(E145,Sheet1!A144:I205,1,0)</f>
        <v>#N/A</v>
      </c>
    </row>
    <row r="146" spans="1:12">
      <c r="A146" t="s">
        <v>442</v>
      </c>
      <c r="B146">
        <v>171177953</v>
      </c>
      <c r="C146" s="1" t="s">
        <v>443</v>
      </c>
      <c r="D146">
        <v>71400</v>
      </c>
      <c r="E146" t="s">
        <v>444</v>
      </c>
      <c r="F146">
        <v>243</v>
      </c>
      <c r="G146">
        <v>171117009</v>
      </c>
      <c r="H146">
        <v>4400</v>
      </c>
      <c r="I146">
        <v>1000</v>
      </c>
      <c r="J146">
        <v>44</v>
      </c>
      <c r="K146">
        <v>66000</v>
      </c>
      <c r="L146" t="e">
        <f>VLOOKUP(E146,Sheet1!A145:I206,1,0)</f>
        <v>#N/A</v>
      </c>
    </row>
    <row r="147" spans="1:12">
      <c r="A147" t="s">
        <v>445</v>
      </c>
      <c r="B147">
        <v>171177896</v>
      </c>
      <c r="C147" s="1" t="s">
        <v>446</v>
      </c>
      <c r="D147">
        <v>202600</v>
      </c>
      <c r="E147" t="s">
        <v>447</v>
      </c>
      <c r="F147">
        <v>186</v>
      </c>
      <c r="G147">
        <v>171116958</v>
      </c>
      <c r="H147">
        <v>12600</v>
      </c>
      <c r="I147">
        <v>1000</v>
      </c>
      <c r="J147">
        <v>126</v>
      </c>
      <c r="K147">
        <v>189000</v>
      </c>
      <c r="L147" t="e">
        <f>VLOOKUP(E147,Sheet1!A146:I207,1,0)</f>
        <v>#N/A</v>
      </c>
    </row>
    <row r="148" spans="1:12">
      <c r="A148" t="s">
        <v>448</v>
      </c>
      <c r="B148">
        <v>171177929</v>
      </c>
      <c r="C148" s="1" t="s">
        <v>449</v>
      </c>
      <c r="D148">
        <v>1404200</v>
      </c>
      <c r="E148" t="s">
        <v>450</v>
      </c>
      <c r="F148">
        <v>219</v>
      </c>
      <c r="G148">
        <v>171116988</v>
      </c>
      <c r="H148">
        <v>87700</v>
      </c>
      <c r="I148">
        <v>1000</v>
      </c>
      <c r="J148">
        <v>877</v>
      </c>
      <c r="K148">
        <v>1315500</v>
      </c>
      <c r="L148" t="e">
        <f>VLOOKUP(E148,Sheet1!A147:I208,1,0)</f>
        <v>#N/A</v>
      </c>
    </row>
    <row r="149" spans="1:12">
      <c r="A149" t="s">
        <v>451</v>
      </c>
      <c r="B149">
        <v>171177984</v>
      </c>
      <c r="C149" s="1" t="s">
        <v>452</v>
      </c>
      <c r="D149">
        <v>76200</v>
      </c>
      <c r="E149" t="s">
        <v>453</v>
      </c>
      <c r="F149">
        <v>274</v>
      </c>
      <c r="G149">
        <v>171117039</v>
      </c>
      <c r="H149">
        <v>4700</v>
      </c>
      <c r="I149">
        <v>1000</v>
      </c>
      <c r="J149">
        <v>47</v>
      </c>
      <c r="K149">
        <v>70500</v>
      </c>
      <c r="L149" t="e">
        <f>VLOOKUP(E149,Sheet1!A148:I209,1,0)</f>
        <v>#N/A</v>
      </c>
    </row>
    <row r="150" spans="1:12">
      <c r="A150" t="s">
        <v>454</v>
      </c>
      <c r="B150">
        <v>171177861</v>
      </c>
      <c r="C150" s="1" t="s">
        <v>455</v>
      </c>
      <c r="D150">
        <v>676200</v>
      </c>
      <c r="E150" t="s">
        <v>456</v>
      </c>
      <c r="F150">
        <v>151</v>
      </c>
      <c r="G150">
        <v>171116926</v>
      </c>
      <c r="H150">
        <v>42200</v>
      </c>
      <c r="I150">
        <v>1000</v>
      </c>
      <c r="J150">
        <v>422</v>
      </c>
      <c r="K150">
        <v>633000</v>
      </c>
      <c r="L150" t="e">
        <f>VLOOKUP(E150,Sheet1!A149:I210,1,0)</f>
        <v>#N/A</v>
      </c>
    </row>
    <row r="151" spans="1:12">
      <c r="A151" t="s">
        <v>457</v>
      </c>
      <c r="B151">
        <v>171177931</v>
      </c>
      <c r="C151" s="1" t="s">
        <v>458</v>
      </c>
      <c r="D151">
        <v>1001000</v>
      </c>
      <c r="E151" t="s">
        <v>459</v>
      </c>
      <c r="F151">
        <v>221</v>
      </c>
      <c r="G151">
        <v>171116990</v>
      </c>
      <c r="H151">
        <v>62500</v>
      </c>
      <c r="I151">
        <v>1000</v>
      </c>
      <c r="J151">
        <v>625</v>
      </c>
      <c r="K151">
        <v>937500</v>
      </c>
      <c r="L151" t="e">
        <f>VLOOKUP(E151,Sheet1!A150:I211,1,0)</f>
        <v>#N/A</v>
      </c>
    </row>
    <row r="152" spans="1:12">
      <c r="A152" t="s">
        <v>460</v>
      </c>
      <c r="B152">
        <v>171177930</v>
      </c>
      <c r="C152" s="1" t="s">
        <v>461</v>
      </c>
      <c r="D152">
        <v>143400</v>
      </c>
      <c r="E152" t="s">
        <v>462</v>
      </c>
      <c r="F152">
        <v>220</v>
      </c>
      <c r="G152">
        <v>171116989</v>
      </c>
      <c r="H152">
        <v>8900</v>
      </c>
      <c r="I152">
        <v>1000</v>
      </c>
      <c r="J152">
        <v>89</v>
      </c>
      <c r="K152">
        <v>133500</v>
      </c>
      <c r="L152" t="e">
        <f>VLOOKUP(E152,Sheet1!A151:I212,1,0)</f>
        <v>#N/A</v>
      </c>
    </row>
    <row r="153" spans="1:12">
      <c r="A153" t="s">
        <v>463</v>
      </c>
      <c r="B153">
        <v>171177808</v>
      </c>
      <c r="C153" s="1" t="s">
        <v>464</v>
      </c>
      <c r="D153">
        <v>1249000</v>
      </c>
      <c r="E153" t="s">
        <v>465</v>
      </c>
      <c r="F153">
        <v>98</v>
      </c>
      <c r="G153">
        <v>171116184</v>
      </c>
      <c r="H153">
        <v>78000</v>
      </c>
      <c r="I153">
        <v>1000</v>
      </c>
      <c r="J153">
        <v>780</v>
      </c>
      <c r="K153">
        <v>1170000</v>
      </c>
      <c r="L153" t="e">
        <f>VLOOKUP(E153,Sheet1!A152:I213,1,0)</f>
        <v>#N/A</v>
      </c>
    </row>
    <row r="154" spans="1:12">
      <c r="A154" t="s">
        <v>466</v>
      </c>
      <c r="B154">
        <v>171177892</v>
      </c>
      <c r="C154" s="1" t="s">
        <v>467</v>
      </c>
      <c r="D154">
        <v>9274600</v>
      </c>
      <c r="E154" t="s">
        <v>468</v>
      </c>
      <c r="F154">
        <v>182</v>
      </c>
      <c r="G154">
        <v>171116954</v>
      </c>
      <c r="H154">
        <v>579600</v>
      </c>
      <c r="I154">
        <v>1000</v>
      </c>
      <c r="J154">
        <v>5796</v>
      </c>
      <c r="K154">
        <v>8694000</v>
      </c>
      <c r="L154" t="e">
        <f>VLOOKUP(E154,Sheet1!A153:I214,1,0)</f>
        <v>#N/A</v>
      </c>
    </row>
    <row r="155" spans="1:12">
      <c r="A155" t="s">
        <v>469</v>
      </c>
      <c r="B155">
        <v>171177752</v>
      </c>
      <c r="C155" s="1" t="s">
        <v>470</v>
      </c>
      <c r="D155">
        <v>437800</v>
      </c>
      <c r="E155" t="s">
        <v>471</v>
      </c>
      <c r="F155">
        <v>42</v>
      </c>
      <c r="G155">
        <v>171116133</v>
      </c>
      <c r="H155">
        <v>27300</v>
      </c>
      <c r="I155">
        <v>1000</v>
      </c>
      <c r="J155">
        <v>273</v>
      </c>
      <c r="K155">
        <v>409500</v>
      </c>
      <c r="L155" t="e">
        <f>VLOOKUP(E155,Sheet1!A154:I215,1,0)</f>
        <v>#N/A</v>
      </c>
    </row>
    <row r="156" spans="1:12">
      <c r="A156" t="s">
        <v>472</v>
      </c>
      <c r="B156">
        <v>171177975</v>
      </c>
      <c r="C156" s="1" t="s">
        <v>473</v>
      </c>
      <c r="D156">
        <v>503400</v>
      </c>
      <c r="E156" t="s">
        <v>474</v>
      </c>
      <c r="F156">
        <v>265</v>
      </c>
      <c r="G156">
        <v>171117030</v>
      </c>
      <c r="H156">
        <v>31400</v>
      </c>
      <c r="I156">
        <v>1000</v>
      </c>
      <c r="J156">
        <v>314</v>
      </c>
      <c r="K156">
        <v>471000</v>
      </c>
      <c r="L156" t="e">
        <f>VLOOKUP(E156,Sheet1!A155:I216,1,0)</f>
        <v>#N/A</v>
      </c>
    </row>
    <row r="157" spans="1:12">
      <c r="A157" t="s">
        <v>475</v>
      </c>
      <c r="B157">
        <v>171177899</v>
      </c>
      <c r="C157" s="1" t="s">
        <v>476</v>
      </c>
      <c r="D157">
        <v>41000</v>
      </c>
      <c r="E157" t="s">
        <v>477</v>
      </c>
      <c r="F157">
        <v>189</v>
      </c>
      <c r="G157">
        <v>171116961</v>
      </c>
      <c r="H157">
        <v>2500</v>
      </c>
      <c r="I157">
        <v>1000</v>
      </c>
      <c r="J157">
        <v>25</v>
      </c>
      <c r="K157">
        <v>37500</v>
      </c>
      <c r="L157" t="e">
        <f>VLOOKUP(E157,Sheet1!A156:I217,1,0)</f>
        <v>#N/A</v>
      </c>
    </row>
    <row r="158" spans="1:12">
      <c r="A158" t="s">
        <v>478</v>
      </c>
      <c r="B158">
        <v>171177831</v>
      </c>
      <c r="C158" s="1" t="s">
        <v>479</v>
      </c>
      <c r="D158">
        <v>1065000</v>
      </c>
      <c r="E158" t="s">
        <v>480</v>
      </c>
      <c r="F158">
        <v>121</v>
      </c>
      <c r="G158">
        <v>171116206</v>
      </c>
      <c r="H158">
        <v>66500</v>
      </c>
      <c r="I158">
        <v>1000</v>
      </c>
      <c r="J158">
        <v>665</v>
      </c>
      <c r="K158">
        <v>997500</v>
      </c>
      <c r="L158" t="e">
        <f>VLOOKUP(E158,Sheet1!A157:I218,1,0)</f>
        <v>#N/A</v>
      </c>
    </row>
    <row r="159" spans="1:12">
      <c r="A159" t="s">
        <v>481</v>
      </c>
      <c r="B159">
        <v>171177847</v>
      </c>
      <c r="C159" s="1" t="s">
        <v>482</v>
      </c>
      <c r="D159">
        <v>197800</v>
      </c>
      <c r="E159" t="s">
        <v>483</v>
      </c>
      <c r="F159">
        <v>137</v>
      </c>
      <c r="G159">
        <v>171116912</v>
      </c>
      <c r="H159">
        <v>12300</v>
      </c>
      <c r="I159">
        <v>1000</v>
      </c>
      <c r="J159">
        <v>123</v>
      </c>
      <c r="K159">
        <v>184500</v>
      </c>
      <c r="L159" t="e">
        <f>VLOOKUP(E159,Sheet1!A158:I219,1,0)</f>
        <v>#N/A</v>
      </c>
    </row>
    <row r="160" spans="1:12">
      <c r="A160" t="s">
        <v>484</v>
      </c>
      <c r="B160">
        <v>171177756</v>
      </c>
      <c r="C160" s="1" t="s">
        <v>485</v>
      </c>
      <c r="D160">
        <v>399400</v>
      </c>
      <c r="E160" t="s">
        <v>486</v>
      </c>
      <c r="F160">
        <v>46</v>
      </c>
      <c r="G160">
        <v>171116137</v>
      </c>
      <c r="H160">
        <v>24900</v>
      </c>
      <c r="I160">
        <v>1000</v>
      </c>
      <c r="J160">
        <v>249</v>
      </c>
      <c r="K160">
        <v>373500</v>
      </c>
      <c r="L160" t="e">
        <f>VLOOKUP(E160,Sheet1!A159:I220,1,0)</f>
        <v>#N/A</v>
      </c>
    </row>
    <row r="161" spans="1:12">
      <c r="A161" t="s">
        <v>487</v>
      </c>
      <c r="B161">
        <v>171177945</v>
      </c>
      <c r="C161" s="1" t="s">
        <v>488</v>
      </c>
      <c r="D161">
        <v>252200</v>
      </c>
      <c r="E161" t="s">
        <v>489</v>
      </c>
      <c r="F161">
        <v>235</v>
      </c>
      <c r="G161">
        <v>171117002</v>
      </c>
      <c r="H161">
        <v>15700</v>
      </c>
      <c r="I161">
        <v>1000</v>
      </c>
      <c r="J161">
        <v>157</v>
      </c>
      <c r="K161">
        <v>235500</v>
      </c>
      <c r="L161" t="e">
        <f>VLOOKUP(E161,Sheet1!A160:I221,1,0)</f>
        <v>#N/A</v>
      </c>
    </row>
    <row r="162" spans="1:12">
      <c r="A162" t="s">
        <v>490</v>
      </c>
      <c r="B162">
        <v>171177770</v>
      </c>
      <c r="C162" s="1" t="s">
        <v>491</v>
      </c>
      <c r="D162">
        <v>2434600</v>
      </c>
      <c r="E162" t="s">
        <v>492</v>
      </c>
      <c r="F162">
        <v>60</v>
      </c>
      <c r="G162">
        <v>171116150</v>
      </c>
      <c r="H162">
        <v>152100</v>
      </c>
      <c r="I162">
        <v>1000</v>
      </c>
      <c r="J162">
        <v>1521</v>
      </c>
      <c r="K162">
        <v>2281500</v>
      </c>
      <c r="L162" t="e">
        <f>VLOOKUP(E162,Sheet1!A161:I222,1,0)</f>
        <v>#N/A</v>
      </c>
    </row>
    <row r="163" spans="1:12">
      <c r="A163" t="s">
        <v>493</v>
      </c>
      <c r="B163">
        <v>171177747</v>
      </c>
      <c r="C163" s="1" t="s">
        <v>494</v>
      </c>
      <c r="D163">
        <v>1013800</v>
      </c>
      <c r="E163" t="s">
        <v>495</v>
      </c>
      <c r="F163">
        <v>37</v>
      </c>
      <c r="G163">
        <v>171116128</v>
      </c>
      <c r="H163">
        <v>63300</v>
      </c>
      <c r="I163">
        <v>1000</v>
      </c>
      <c r="J163">
        <v>633</v>
      </c>
      <c r="K163">
        <v>949500</v>
      </c>
      <c r="L163" t="e">
        <f>VLOOKUP(E163,Sheet1!A162:I223,1,0)</f>
        <v>#N/A</v>
      </c>
    </row>
    <row r="164" spans="1:12">
      <c r="A164" t="s">
        <v>496</v>
      </c>
      <c r="B164">
        <v>171177794</v>
      </c>
      <c r="C164" s="1" t="s">
        <v>497</v>
      </c>
      <c r="D164">
        <v>2481000</v>
      </c>
      <c r="E164" t="s">
        <v>498</v>
      </c>
      <c r="F164">
        <v>84</v>
      </c>
      <c r="G164">
        <v>171116172</v>
      </c>
      <c r="H164">
        <v>155000</v>
      </c>
      <c r="I164">
        <v>1000</v>
      </c>
      <c r="J164">
        <v>1550</v>
      </c>
      <c r="K164">
        <v>2325000</v>
      </c>
      <c r="L164" t="e">
        <f>VLOOKUP(E164,Sheet1!A163:I224,1,0)</f>
        <v>#N/A</v>
      </c>
    </row>
    <row r="165" spans="1:12">
      <c r="A165" t="s">
        <v>499</v>
      </c>
      <c r="B165">
        <v>171177796</v>
      </c>
      <c r="C165" s="1" t="s">
        <v>500</v>
      </c>
      <c r="D165">
        <v>557800</v>
      </c>
      <c r="E165" t="s">
        <v>501</v>
      </c>
      <c r="F165">
        <v>86</v>
      </c>
      <c r="G165">
        <v>171116174</v>
      </c>
      <c r="H165">
        <v>34800</v>
      </c>
      <c r="I165">
        <v>1000</v>
      </c>
      <c r="J165">
        <v>348</v>
      </c>
      <c r="K165">
        <v>522000</v>
      </c>
      <c r="L165" t="e">
        <f>VLOOKUP(E165,Sheet1!A164:I225,1,0)</f>
        <v>#N/A</v>
      </c>
    </row>
    <row r="166" spans="1:12">
      <c r="A166" t="s">
        <v>502</v>
      </c>
      <c r="B166">
        <v>171177810</v>
      </c>
      <c r="C166" s="1" t="s">
        <v>503</v>
      </c>
      <c r="D166">
        <v>1842600</v>
      </c>
      <c r="E166" t="s">
        <v>504</v>
      </c>
      <c r="F166">
        <v>100</v>
      </c>
      <c r="G166">
        <v>171116186</v>
      </c>
      <c r="H166">
        <v>115100</v>
      </c>
      <c r="I166">
        <v>1000</v>
      </c>
      <c r="J166">
        <v>1151</v>
      </c>
      <c r="K166">
        <v>1726500</v>
      </c>
      <c r="L166" t="e">
        <f>VLOOKUP(E166,Sheet1!A165:I226,1,0)</f>
        <v>#N/A</v>
      </c>
    </row>
    <row r="167" spans="1:12">
      <c r="A167" t="s">
        <v>505</v>
      </c>
      <c r="B167">
        <v>171177864</v>
      </c>
      <c r="C167" s="1" t="s">
        <v>506</v>
      </c>
      <c r="D167">
        <v>154600</v>
      </c>
      <c r="E167" t="s">
        <v>507</v>
      </c>
      <c r="F167">
        <v>154</v>
      </c>
      <c r="G167">
        <v>171116929</v>
      </c>
      <c r="H167">
        <v>9600</v>
      </c>
      <c r="I167">
        <v>1000</v>
      </c>
      <c r="J167">
        <v>96</v>
      </c>
      <c r="K167">
        <v>144000</v>
      </c>
      <c r="L167" t="e">
        <f>VLOOKUP(E167,Sheet1!A166:I227,1,0)</f>
        <v>#N/A</v>
      </c>
    </row>
    <row r="168" spans="1:12">
      <c r="A168" t="s">
        <v>508</v>
      </c>
      <c r="B168">
        <v>171177820</v>
      </c>
      <c r="C168" s="1" t="s">
        <v>509</v>
      </c>
      <c r="D168">
        <v>1399400</v>
      </c>
      <c r="E168" t="s">
        <v>510</v>
      </c>
      <c r="F168">
        <v>110</v>
      </c>
      <c r="G168">
        <v>171116196</v>
      </c>
      <c r="H168">
        <v>87400</v>
      </c>
      <c r="I168">
        <v>1000</v>
      </c>
      <c r="J168">
        <v>874</v>
      </c>
      <c r="K168">
        <v>1311000</v>
      </c>
      <c r="L168" t="e">
        <f>VLOOKUP(E168,Sheet1!A167:I228,1,0)</f>
        <v>#N/A</v>
      </c>
    </row>
    <row r="169" spans="1:12">
      <c r="A169" t="s">
        <v>511</v>
      </c>
      <c r="B169">
        <v>171177966</v>
      </c>
      <c r="C169" s="1" t="s">
        <v>512</v>
      </c>
      <c r="D169">
        <v>252200</v>
      </c>
      <c r="E169" t="s">
        <v>513</v>
      </c>
      <c r="F169">
        <v>256</v>
      </c>
      <c r="G169">
        <v>171117022</v>
      </c>
      <c r="H169">
        <v>15700</v>
      </c>
      <c r="I169">
        <v>1000</v>
      </c>
      <c r="J169">
        <v>157</v>
      </c>
      <c r="K169">
        <v>235500</v>
      </c>
      <c r="L169" t="e">
        <f>VLOOKUP(E169,Sheet1!A168:I229,1,0)</f>
        <v>#N/A</v>
      </c>
    </row>
    <row r="170" spans="1:12">
      <c r="A170" t="s">
        <v>514</v>
      </c>
      <c r="B170">
        <v>171177989</v>
      </c>
      <c r="C170" s="1" t="s">
        <v>515</v>
      </c>
      <c r="D170">
        <v>138600</v>
      </c>
      <c r="E170" t="s">
        <v>516</v>
      </c>
      <c r="F170">
        <v>279</v>
      </c>
      <c r="G170">
        <v>171117044</v>
      </c>
      <c r="H170">
        <v>8600</v>
      </c>
      <c r="I170">
        <v>1000</v>
      </c>
      <c r="J170">
        <v>86</v>
      </c>
      <c r="K170">
        <v>129000</v>
      </c>
      <c r="L170" t="e">
        <f>VLOOKUP(E170,Sheet1!A169:I230,1,0)</f>
        <v>#N/A</v>
      </c>
    </row>
    <row r="171" spans="1:12">
      <c r="A171" t="s">
        <v>517</v>
      </c>
      <c r="B171">
        <v>171177891</v>
      </c>
      <c r="C171" s="1" t="s">
        <v>518</v>
      </c>
      <c r="D171">
        <v>341800</v>
      </c>
      <c r="E171" t="s">
        <v>519</v>
      </c>
      <c r="F171">
        <v>181</v>
      </c>
      <c r="G171">
        <v>171116953</v>
      </c>
      <c r="H171">
        <v>21300</v>
      </c>
      <c r="I171">
        <v>1000</v>
      </c>
      <c r="J171">
        <v>213</v>
      </c>
      <c r="K171">
        <v>319500</v>
      </c>
      <c r="L171" t="e">
        <f>VLOOKUP(E171,Sheet1!A170:I231,1,0)</f>
        <v>#N/A</v>
      </c>
    </row>
    <row r="172" spans="1:12">
      <c r="A172" t="s">
        <v>520</v>
      </c>
      <c r="B172">
        <v>171177860</v>
      </c>
      <c r="C172" s="1" t="s">
        <v>521</v>
      </c>
      <c r="D172">
        <v>207400</v>
      </c>
      <c r="E172" t="s">
        <v>522</v>
      </c>
      <c r="F172">
        <v>150</v>
      </c>
      <c r="G172">
        <v>171116925</v>
      </c>
      <c r="H172">
        <v>12900</v>
      </c>
      <c r="I172">
        <v>1000</v>
      </c>
      <c r="J172">
        <v>129</v>
      </c>
      <c r="K172">
        <v>193500</v>
      </c>
      <c r="L172" t="e">
        <f>VLOOKUP(E172,Sheet1!A171:I232,1,0)</f>
        <v>#N/A</v>
      </c>
    </row>
    <row r="173" spans="1:12">
      <c r="A173" t="s">
        <v>523</v>
      </c>
      <c r="B173">
        <v>171177723</v>
      </c>
      <c r="C173" s="1" t="s">
        <v>524</v>
      </c>
      <c r="D173">
        <v>578600</v>
      </c>
      <c r="E173" t="s">
        <v>525</v>
      </c>
      <c r="F173">
        <v>13</v>
      </c>
      <c r="G173">
        <v>171116105</v>
      </c>
      <c r="H173">
        <v>36100</v>
      </c>
      <c r="I173">
        <v>1000</v>
      </c>
      <c r="J173">
        <v>361</v>
      </c>
      <c r="K173">
        <v>541500</v>
      </c>
      <c r="L173" t="e">
        <f>VLOOKUP(E173,Sheet1!A172:I233,1,0)</f>
        <v>#N/A</v>
      </c>
    </row>
    <row r="174" spans="1:12">
      <c r="A174" t="s">
        <v>526</v>
      </c>
      <c r="B174">
        <v>171177763</v>
      </c>
      <c r="C174" s="1" t="s">
        <v>527</v>
      </c>
      <c r="D174">
        <v>426600</v>
      </c>
      <c r="E174" t="s">
        <v>528</v>
      </c>
      <c r="F174">
        <v>53</v>
      </c>
      <c r="G174">
        <v>171116143</v>
      </c>
      <c r="H174">
        <v>26600</v>
      </c>
      <c r="I174">
        <v>1000</v>
      </c>
      <c r="J174">
        <v>266</v>
      </c>
      <c r="K174">
        <v>399000</v>
      </c>
      <c r="L174" t="e">
        <f>VLOOKUP(E174,Sheet1!A173:I234,1,0)</f>
        <v>#N/A</v>
      </c>
    </row>
    <row r="175" spans="1:12">
      <c r="A175" t="s">
        <v>529</v>
      </c>
      <c r="B175">
        <v>171177746</v>
      </c>
      <c r="C175" s="1" t="s">
        <v>530</v>
      </c>
      <c r="D175">
        <v>290600</v>
      </c>
      <c r="E175" t="s">
        <v>531</v>
      </c>
      <c r="F175">
        <v>36</v>
      </c>
      <c r="G175">
        <v>171116127</v>
      </c>
      <c r="H175">
        <v>18100</v>
      </c>
      <c r="I175">
        <v>1000</v>
      </c>
      <c r="J175">
        <v>181</v>
      </c>
      <c r="K175">
        <v>271500</v>
      </c>
      <c r="L175" t="e">
        <f>VLOOKUP(E175,Sheet1!A174:I235,1,0)</f>
        <v>#N/A</v>
      </c>
    </row>
    <row r="176" spans="1:12">
      <c r="A176" t="s">
        <v>532</v>
      </c>
      <c r="B176">
        <v>171177886</v>
      </c>
      <c r="C176" s="1" t="s">
        <v>533</v>
      </c>
      <c r="D176">
        <v>545000</v>
      </c>
      <c r="E176" t="s">
        <v>534</v>
      </c>
      <c r="F176">
        <v>176</v>
      </c>
      <c r="G176">
        <v>171116948</v>
      </c>
      <c r="H176">
        <v>34000</v>
      </c>
      <c r="I176">
        <v>1000</v>
      </c>
      <c r="J176">
        <v>340</v>
      </c>
      <c r="K176">
        <v>510000</v>
      </c>
      <c r="L176" t="e">
        <f>VLOOKUP(E176,Sheet1!A175:I236,1,0)</f>
        <v>#N/A</v>
      </c>
    </row>
    <row r="177" spans="1:12">
      <c r="A177" t="s">
        <v>535</v>
      </c>
      <c r="B177">
        <v>171177732</v>
      </c>
      <c r="C177" s="1" t="s">
        <v>200</v>
      </c>
      <c r="D177">
        <v>175400</v>
      </c>
      <c r="E177" t="s">
        <v>536</v>
      </c>
      <c r="F177">
        <v>22</v>
      </c>
      <c r="G177">
        <v>171116113</v>
      </c>
      <c r="H177">
        <v>10900</v>
      </c>
      <c r="I177">
        <v>1000</v>
      </c>
      <c r="J177">
        <v>109</v>
      </c>
      <c r="K177">
        <v>163500</v>
      </c>
      <c r="L177" t="e">
        <f>VLOOKUP(E177,Sheet1!A176:I237,1,0)</f>
        <v>#N/A</v>
      </c>
    </row>
    <row r="178" spans="1:12">
      <c r="A178" t="s">
        <v>537</v>
      </c>
      <c r="B178">
        <v>171177993</v>
      </c>
      <c r="C178" s="1" t="s">
        <v>538</v>
      </c>
      <c r="D178">
        <v>279400</v>
      </c>
      <c r="E178" t="s">
        <v>539</v>
      </c>
      <c r="F178">
        <v>283</v>
      </c>
      <c r="G178">
        <v>171117048</v>
      </c>
      <c r="H178">
        <v>17400</v>
      </c>
      <c r="I178">
        <v>1000</v>
      </c>
      <c r="J178">
        <v>174</v>
      </c>
      <c r="K178">
        <v>261000</v>
      </c>
      <c r="L178" t="e">
        <f>VLOOKUP(E178,Sheet1!A177:I238,1,0)</f>
        <v>#N/A</v>
      </c>
    </row>
    <row r="179" spans="1:12">
      <c r="A179" t="s">
        <v>540</v>
      </c>
      <c r="B179">
        <v>171177772</v>
      </c>
      <c r="C179" s="1" t="s">
        <v>541</v>
      </c>
      <c r="D179">
        <v>842600</v>
      </c>
      <c r="E179" t="s">
        <v>542</v>
      </c>
      <c r="F179">
        <v>62</v>
      </c>
      <c r="G179">
        <v>171116152</v>
      </c>
      <c r="H179">
        <v>52600</v>
      </c>
      <c r="I179">
        <v>1000</v>
      </c>
      <c r="J179">
        <v>526</v>
      </c>
      <c r="K179">
        <v>789000</v>
      </c>
      <c r="L179" t="e">
        <f>VLOOKUP(E179,Sheet1!A178:I239,1,0)</f>
        <v>#N/A</v>
      </c>
    </row>
    <row r="180" spans="1:12">
      <c r="A180" t="s">
        <v>543</v>
      </c>
      <c r="B180">
        <v>171177857</v>
      </c>
      <c r="C180" s="1" t="s">
        <v>544</v>
      </c>
      <c r="D180">
        <v>348200</v>
      </c>
      <c r="E180" t="s">
        <v>545</v>
      </c>
      <c r="F180">
        <v>147</v>
      </c>
      <c r="G180">
        <v>171116922</v>
      </c>
      <c r="H180">
        <v>21700</v>
      </c>
      <c r="I180">
        <v>1000</v>
      </c>
      <c r="J180">
        <v>217</v>
      </c>
      <c r="K180">
        <v>325500</v>
      </c>
      <c r="L180" t="e">
        <f>VLOOKUP(E180,Sheet1!A179:I240,1,0)</f>
        <v>#N/A</v>
      </c>
    </row>
    <row r="181" spans="1:12">
      <c r="A181" t="s">
        <v>546</v>
      </c>
      <c r="B181">
        <v>171177980</v>
      </c>
      <c r="C181" s="1" t="s">
        <v>547</v>
      </c>
      <c r="D181">
        <v>959400</v>
      </c>
      <c r="E181" t="s">
        <v>548</v>
      </c>
      <c r="F181">
        <v>270</v>
      </c>
      <c r="G181">
        <v>171117035</v>
      </c>
      <c r="H181">
        <v>59900</v>
      </c>
      <c r="I181">
        <v>1000</v>
      </c>
      <c r="J181">
        <v>599</v>
      </c>
      <c r="K181">
        <v>898500</v>
      </c>
      <c r="L181" t="e">
        <f>VLOOKUP(E181,Sheet1!A180:I241,1,0)</f>
        <v>#N/A</v>
      </c>
    </row>
    <row r="182" spans="1:12">
      <c r="A182" t="s">
        <v>549</v>
      </c>
      <c r="B182">
        <v>171177981</v>
      </c>
      <c r="C182" s="1" t="s">
        <v>550</v>
      </c>
      <c r="D182">
        <v>116200</v>
      </c>
      <c r="E182" t="s">
        <v>551</v>
      </c>
      <c r="F182">
        <v>271</v>
      </c>
      <c r="G182">
        <v>171117036</v>
      </c>
      <c r="H182">
        <v>7200</v>
      </c>
      <c r="I182">
        <v>1000</v>
      </c>
      <c r="J182">
        <v>72</v>
      </c>
      <c r="K182">
        <v>108000</v>
      </c>
      <c r="L182" t="e">
        <f>VLOOKUP(E182,Sheet1!A181:I242,1,0)</f>
        <v>#N/A</v>
      </c>
    </row>
    <row r="183" spans="1:12">
      <c r="A183" t="s">
        <v>552</v>
      </c>
      <c r="B183">
        <v>171177785</v>
      </c>
      <c r="C183" s="1" t="s">
        <v>553</v>
      </c>
      <c r="D183">
        <v>1367400</v>
      </c>
      <c r="E183" t="s">
        <v>554</v>
      </c>
      <c r="F183">
        <v>75</v>
      </c>
      <c r="G183">
        <v>171116164</v>
      </c>
      <c r="H183">
        <v>85400</v>
      </c>
      <c r="I183">
        <v>1000</v>
      </c>
      <c r="J183">
        <v>854</v>
      </c>
      <c r="K183">
        <v>1281000</v>
      </c>
      <c r="L183" t="e">
        <f>VLOOKUP(E183,Sheet1!A182:I243,1,0)</f>
        <v>#N/A</v>
      </c>
    </row>
    <row r="184" spans="1:12">
      <c r="A184" t="s">
        <v>555</v>
      </c>
      <c r="B184">
        <v>171177792</v>
      </c>
      <c r="C184" s="1" t="s">
        <v>556</v>
      </c>
      <c r="D184">
        <v>2164200</v>
      </c>
      <c r="E184" t="s">
        <v>557</v>
      </c>
      <c r="F184">
        <v>82</v>
      </c>
      <c r="G184">
        <v>171116170</v>
      </c>
      <c r="H184">
        <v>135200</v>
      </c>
      <c r="I184">
        <v>1000</v>
      </c>
      <c r="J184">
        <v>1352</v>
      </c>
      <c r="K184">
        <v>2028000</v>
      </c>
      <c r="L184" t="e">
        <f>VLOOKUP(E184,Sheet1!A183:I244,1,0)</f>
        <v>#N/A</v>
      </c>
    </row>
    <row r="185" spans="1:12">
      <c r="A185" t="s">
        <v>558</v>
      </c>
      <c r="B185">
        <v>171177967</v>
      </c>
      <c r="C185" s="1" t="s">
        <v>559</v>
      </c>
      <c r="D185">
        <v>73000</v>
      </c>
      <c r="E185" t="s">
        <v>560</v>
      </c>
      <c r="F185">
        <v>257</v>
      </c>
      <c r="G185">
        <v>171117023</v>
      </c>
      <c r="H185">
        <v>4500</v>
      </c>
      <c r="I185">
        <v>1000</v>
      </c>
      <c r="J185">
        <v>45</v>
      </c>
      <c r="K185">
        <v>67500</v>
      </c>
      <c r="L185" t="e">
        <f>VLOOKUP(E185,Sheet1!A184:I245,1,0)</f>
        <v>#N/A</v>
      </c>
    </row>
    <row r="186" spans="1:12">
      <c r="A186" t="s">
        <v>561</v>
      </c>
      <c r="B186">
        <v>171177936</v>
      </c>
      <c r="C186" s="1" t="s">
        <v>562</v>
      </c>
      <c r="D186">
        <v>308200</v>
      </c>
      <c r="E186" t="s">
        <v>563</v>
      </c>
      <c r="F186">
        <v>226</v>
      </c>
      <c r="G186">
        <v>171116994</v>
      </c>
      <c r="H186">
        <v>19200</v>
      </c>
      <c r="I186">
        <v>1000</v>
      </c>
      <c r="J186">
        <v>192</v>
      </c>
      <c r="K186">
        <v>288000</v>
      </c>
      <c r="L186" t="e">
        <f>VLOOKUP(E186,Sheet1!A185:I246,1,0)</f>
        <v>#N/A</v>
      </c>
    </row>
    <row r="187" spans="1:12">
      <c r="A187" t="s">
        <v>564</v>
      </c>
      <c r="B187">
        <v>171177743</v>
      </c>
      <c r="C187" s="1" t="s">
        <v>565</v>
      </c>
      <c r="D187">
        <v>231400</v>
      </c>
      <c r="E187" t="s">
        <v>566</v>
      </c>
      <c r="F187">
        <v>33</v>
      </c>
      <c r="G187">
        <v>171116124</v>
      </c>
      <c r="H187">
        <v>14400</v>
      </c>
      <c r="I187">
        <v>1000</v>
      </c>
      <c r="J187">
        <v>144</v>
      </c>
      <c r="K187">
        <v>216000</v>
      </c>
      <c r="L187" t="e">
        <f>VLOOKUP(E187,Sheet1!A186:I247,1,0)</f>
        <v>#N/A</v>
      </c>
    </row>
    <row r="188" spans="1:12">
      <c r="A188" t="s">
        <v>567</v>
      </c>
      <c r="B188">
        <v>171177903</v>
      </c>
      <c r="C188" s="1" t="s">
        <v>568</v>
      </c>
      <c r="D188">
        <v>95400</v>
      </c>
      <c r="E188" t="s">
        <v>569</v>
      </c>
      <c r="F188">
        <v>193</v>
      </c>
      <c r="G188">
        <v>171116964</v>
      </c>
      <c r="H188">
        <v>5900</v>
      </c>
      <c r="I188">
        <v>1000</v>
      </c>
      <c r="J188">
        <v>59</v>
      </c>
      <c r="K188">
        <v>88500</v>
      </c>
      <c r="L188" t="e">
        <f>VLOOKUP(E188,Sheet1!A187:I248,1,0)</f>
        <v>#N/A</v>
      </c>
    </row>
    <row r="189" spans="1:12">
      <c r="A189" t="s">
        <v>570</v>
      </c>
      <c r="B189">
        <v>171177879</v>
      </c>
      <c r="C189" s="1" t="s">
        <v>571</v>
      </c>
      <c r="D189">
        <v>63400</v>
      </c>
      <c r="E189" t="s">
        <v>572</v>
      </c>
      <c r="F189">
        <v>169</v>
      </c>
      <c r="G189">
        <v>171116943</v>
      </c>
      <c r="H189">
        <v>3900</v>
      </c>
      <c r="I189">
        <v>1000</v>
      </c>
      <c r="J189">
        <v>39</v>
      </c>
      <c r="K189">
        <v>58500</v>
      </c>
      <c r="L189" t="e">
        <f>VLOOKUP(E189,Sheet1!A188:I249,1,0)</f>
        <v>#N/A</v>
      </c>
    </row>
    <row r="190" spans="1:12">
      <c r="A190" t="s">
        <v>573</v>
      </c>
      <c r="B190">
        <v>171177876</v>
      </c>
      <c r="C190" s="1" t="s">
        <v>574</v>
      </c>
      <c r="D190">
        <v>314600</v>
      </c>
      <c r="E190" t="s">
        <v>575</v>
      </c>
      <c r="F190">
        <v>166</v>
      </c>
      <c r="G190">
        <v>171116940</v>
      </c>
      <c r="H190">
        <v>19600</v>
      </c>
      <c r="I190">
        <v>1000</v>
      </c>
      <c r="J190">
        <v>196</v>
      </c>
      <c r="K190">
        <v>294000</v>
      </c>
      <c r="L190" t="e">
        <f>VLOOKUP(E190,Sheet1!A189:I250,1,0)</f>
        <v>#N/A</v>
      </c>
    </row>
    <row r="191" spans="1:12">
      <c r="A191" t="s">
        <v>576</v>
      </c>
      <c r="B191">
        <v>171177978</v>
      </c>
      <c r="C191" s="1" t="s">
        <v>577</v>
      </c>
      <c r="D191">
        <v>658600</v>
      </c>
      <c r="E191" t="s">
        <v>578</v>
      </c>
      <c r="F191">
        <v>268</v>
      </c>
      <c r="G191">
        <v>171117033</v>
      </c>
      <c r="H191">
        <v>41100</v>
      </c>
      <c r="I191">
        <v>1000</v>
      </c>
      <c r="J191">
        <v>411</v>
      </c>
      <c r="K191">
        <v>616500</v>
      </c>
      <c r="L191" t="e">
        <f>VLOOKUP(E191,Sheet1!A190:I251,1,0)</f>
        <v>#N/A</v>
      </c>
    </row>
    <row r="192" spans="1:12">
      <c r="A192" t="s">
        <v>579</v>
      </c>
      <c r="B192">
        <v>171177938</v>
      </c>
      <c r="C192" s="1" t="s">
        <v>580</v>
      </c>
      <c r="D192">
        <v>193000</v>
      </c>
      <c r="E192" t="s">
        <v>581</v>
      </c>
      <c r="F192">
        <v>228</v>
      </c>
      <c r="G192">
        <v>171116996</v>
      </c>
      <c r="H192">
        <v>12000</v>
      </c>
      <c r="I192">
        <v>1000</v>
      </c>
      <c r="J192">
        <v>120</v>
      </c>
      <c r="K192">
        <v>180000</v>
      </c>
      <c r="L192" t="e">
        <f>VLOOKUP(E192,Sheet1!A191:I252,1,0)</f>
        <v>#N/A</v>
      </c>
    </row>
    <row r="193" spans="1:12">
      <c r="A193" t="s">
        <v>582</v>
      </c>
      <c r="B193">
        <v>171177780</v>
      </c>
      <c r="C193" s="1" t="s">
        <v>583</v>
      </c>
      <c r="D193">
        <v>1274600</v>
      </c>
      <c r="E193" t="s">
        <v>584</v>
      </c>
      <c r="F193">
        <v>70</v>
      </c>
      <c r="G193">
        <v>171116159</v>
      </c>
      <c r="H193">
        <v>79600</v>
      </c>
      <c r="I193">
        <v>1000</v>
      </c>
      <c r="J193">
        <v>796</v>
      </c>
      <c r="K193">
        <v>1194000</v>
      </c>
      <c r="L193" t="e">
        <f>VLOOKUP(E193,Sheet1!A192:I253,1,0)</f>
        <v>#N/A</v>
      </c>
    </row>
    <row r="194" spans="1:12">
      <c r="A194" t="s">
        <v>585</v>
      </c>
      <c r="B194">
        <v>171177934</v>
      </c>
      <c r="C194" s="1" t="s">
        <v>586</v>
      </c>
      <c r="D194">
        <v>3972200</v>
      </c>
      <c r="E194" t="s">
        <v>587</v>
      </c>
      <c r="F194">
        <v>224</v>
      </c>
      <c r="G194">
        <v>171116993</v>
      </c>
      <c r="H194">
        <v>248200</v>
      </c>
      <c r="I194">
        <v>1000</v>
      </c>
      <c r="J194">
        <v>2482</v>
      </c>
      <c r="K194">
        <v>3723000</v>
      </c>
      <c r="L194" t="e">
        <f>VLOOKUP(E194,Sheet1!A193:I254,1,0)</f>
        <v>#N/A</v>
      </c>
    </row>
    <row r="195" spans="1:12">
      <c r="A195" t="s">
        <v>588</v>
      </c>
      <c r="B195">
        <v>171177871</v>
      </c>
      <c r="C195" s="1" t="s">
        <v>589</v>
      </c>
      <c r="D195">
        <v>183400</v>
      </c>
      <c r="E195" t="s">
        <v>590</v>
      </c>
      <c r="F195">
        <v>161</v>
      </c>
      <c r="G195">
        <v>171116936</v>
      </c>
      <c r="H195">
        <v>11400</v>
      </c>
      <c r="I195">
        <v>1000</v>
      </c>
      <c r="J195">
        <v>114</v>
      </c>
      <c r="K195">
        <v>171000</v>
      </c>
      <c r="L195" t="e">
        <f>VLOOKUP(E195,Sheet1!A194:I255,1,0)</f>
        <v>#N/A</v>
      </c>
    </row>
    <row r="196" spans="1:12">
      <c r="A196" t="s">
        <v>591</v>
      </c>
      <c r="B196">
        <v>171177813</v>
      </c>
      <c r="C196" s="1" t="s">
        <v>592</v>
      </c>
      <c r="D196">
        <v>404200</v>
      </c>
      <c r="E196" t="s">
        <v>593</v>
      </c>
      <c r="F196">
        <v>103</v>
      </c>
      <c r="G196">
        <v>171116189</v>
      </c>
      <c r="H196">
        <v>25200</v>
      </c>
      <c r="I196">
        <v>1000</v>
      </c>
      <c r="J196">
        <v>252</v>
      </c>
      <c r="K196">
        <v>378000</v>
      </c>
      <c r="L196" t="e">
        <f>VLOOKUP(E196,Sheet1!A195:I256,1,0)</f>
        <v>#N/A</v>
      </c>
    </row>
    <row r="197" spans="1:12">
      <c r="A197" t="s">
        <v>594</v>
      </c>
      <c r="B197">
        <v>171177721</v>
      </c>
      <c r="C197" s="1" t="s">
        <v>595</v>
      </c>
      <c r="D197">
        <v>351400</v>
      </c>
      <c r="E197" t="s">
        <v>596</v>
      </c>
      <c r="F197">
        <v>11</v>
      </c>
      <c r="G197">
        <v>171116103</v>
      </c>
      <c r="H197">
        <v>21900</v>
      </c>
      <c r="I197">
        <v>1000</v>
      </c>
      <c r="J197">
        <v>219</v>
      </c>
      <c r="K197">
        <v>328500</v>
      </c>
      <c r="L197" t="e">
        <f>VLOOKUP(E197,Sheet1!A196:I257,1,0)</f>
        <v>#N/A</v>
      </c>
    </row>
    <row r="198" spans="1:12">
      <c r="A198" t="s">
        <v>597</v>
      </c>
      <c r="B198">
        <v>171177997</v>
      </c>
      <c r="C198" s="1" t="s">
        <v>598</v>
      </c>
      <c r="D198">
        <v>138600</v>
      </c>
      <c r="E198" t="s">
        <v>599</v>
      </c>
      <c r="F198">
        <v>287</v>
      </c>
      <c r="G198">
        <v>171117051</v>
      </c>
      <c r="H198">
        <v>8600</v>
      </c>
      <c r="I198">
        <v>1000</v>
      </c>
      <c r="J198">
        <v>86</v>
      </c>
      <c r="K198">
        <v>129000</v>
      </c>
      <c r="L198" t="e">
        <f>VLOOKUP(E198,Sheet1!A197:I258,1,0)</f>
        <v>#N/A</v>
      </c>
    </row>
    <row r="199" spans="1:12">
      <c r="A199" t="s">
        <v>600</v>
      </c>
      <c r="B199">
        <v>171177851</v>
      </c>
      <c r="C199" s="1" t="s">
        <v>601</v>
      </c>
      <c r="D199">
        <v>396200</v>
      </c>
      <c r="E199" t="s">
        <v>602</v>
      </c>
      <c r="F199">
        <v>141</v>
      </c>
      <c r="G199">
        <v>171116916</v>
      </c>
      <c r="H199">
        <v>24700</v>
      </c>
      <c r="I199">
        <v>1000</v>
      </c>
      <c r="J199">
        <v>247</v>
      </c>
      <c r="K199">
        <v>370500</v>
      </c>
      <c r="L199" t="e">
        <f>VLOOKUP(E199,Sheet1!A198:I259,1,0)</f>
        <v>#N/A</v>
      </c>
    </row>
    <row r="200" spans="1:12">
      <c r="A200" t="s">
        <v>603</v>
      </c>
      <c r="B200">
        <v>171177750</v>
      </c>
      <c r="C200" s="1" t="s">
        <v>604</v>
      </c>
      <c r="D200">
        <v>284200</v>
      </c>
      <c r="E200" t="s">
        <v>605</v>
      </c>
      <c r="F200">
        <v>40</v>
      </c>
      <c r="G200">
        <v>171116131</v>
      </c>
      <c r="H200">
        <v>17700</v>
      </c>
      <c r="I200">
        <v>1000</v>
      </c>
      <c r="J200">
        <v>177</v>
      </c>
      <c r="K200">
        <v>265500</v>
      </c>
      <c r="L200" t="e">
        <f>VLOOKUP(E200,Sheet1!A199:I260,1,0)</f>
        <v>#N/A</v>
      </c>
    </row>
    <row r="201" spans="1:12">
      <c r="A201" t="s">
        <v>606</v>
      </c>
      <c r="B201">
        <v>171177922</v>
      </c>
      <c r="C201" s="1" t="s">
        <v>607</v>
      </c>
      <c r="D201">
        <v>250600</v>
      </c>
      <c r="E201" t="s">
        <v>608</v>
      </c>
      <c r="F201">
        <v>212</v>
      </c>
      <c r="G201">
        <v>171116981</v>
      </c>
      <c r="H201">
        <v>15600</v>
      </c>
      <c r="I201">
        <v>1000</v>
      </c>
      <c r="J201">
        <v>156</v>
      </c>
      <c r="K201">
        <v>234000</v>
      </c>
      <c r="L201" t="e">
        <f>VLOOKUP(E201,Sheet1!A200:I261,1,0)</f>
        <v>#N/A</v>
      </c>
    </row>
    <row r="202" spans="1:12">
      <c r="A202" t="s">
        <v>609</v>
      </c>
      <c r="B202">
        <v>171177787</v>
      </c>
      <c r="C202" s="1" t="s">
        <v>610</v>
      </c>
      <c r="D202">
        <v>1045800</v>
      </c>
      <c r="E202" t="s">
        <v>611</v>
      </c>
      <c r="F202">
        <v>77</v>
      </c>
      <c r="G202">
        <v>171116166</v>
      </c>
      <c r="H202">
        <v>65300</v>
      </c>
      <c r="I202">
        <v>1000</v>
      </c>
      <c r="J202">
        <v>653</v>
      </c>
      <c r="K202">
        <v>979500</v>
      </c>
      <c r="L202" t="e">
        <f>VLOOKUP(E202,Sheet1!A201:I262,1,0)</f>
        <v>#N/A</v>
      </c>
    </row>
    <row r="203" spans="1:12">
      <c r="A203" t="s">
        <v>612</v>
      </c>
      <c r="B203">
        <v>171177983</v>
      </c>
      <c r="C203" s="1" t="s">
        <v>613</v>
      </c>
      <c r="D203">
        <v>129000</v>
      </c>
      <c r="E203" t="s">
        <v>614</v>
      </c>
      <c r="F203">
        <v>273</v>
      </c>
      <c r="G203">
        <v>171117038</v>
      </c>
      <c r="H203">
        <v>8000</v>
      </c>
      <c r="I203">
        <v>1000</v>
      </c>
      <c r="J203">
        <v>80</v>
      </c>
      <c r="K203">
        <v>120000</v>
      </c>
      <c r="L203" t="e">
        <f>VLOOKUP(E203,Sheet1!A202:I263,1,0)</f>
        <v>#N/A</v>
      </c>
    </row>
    <row r="204" spans="1:12">
      <c r="A204" t="s">
        <v>615</v>
      </c>
      <c r="B204">
        <v>171177948</v>
      </c>
      <c r="C204" s="1" t="s">
        <v>616</v>
      </c>
      <c r="D204">
        <v>290600</v>
      </c>
      <c r="E204" t="s">
        <v>617</v>
      </c>
      <c r="F204">
        <v>238</v>
      </c>
      <c r="G204">
        <v>171117004</v>
      </c>
      <c r="H204">
        <v>18100</v>
      </c>
      <c r="I204">
        <v>1000</v>
      </c>
      <c r="J204">
        <v>181</v>
      </c>
      <c r="K204">
        <v>271500</v>
      </c>
      <c r="L204" t="e">
        <f>VLOOKUP(E204,Sheet1!A203:I264,1,0)</f>
        <v>#N/A</v>
      </c>
    </row>
    <row r="205" spans="1:12">
      <c r="A205" t="s">
        <v>618</v>
      </c>
      <c r="B205">
        <v>171177919</v>
      </c>
      <c r="C205" s="1" t="s">
        <v>619</v>
      </c>
      <c r="D205">
        <v>26600</v>
      </c>
      <c r="E205" t="s">
        <v>620</v>
      </c>
      <c r="F205">
        <v>209</v>
      </c>
      <c r="G205">
        <v>171116978</v>
      </c>
      <c r="H205">
        <v>1600</v>
      </c>
      <c r="I205">
        <v>1000</v>
      </c>
      <c r="J205">
        <v>16</v>
      </c>
      <c r="K205">
        <v>24000</v>
      </c>
      <c r="L205" t="e">
        <f>VLOOKUP(E205,Sheet1!A204:I265,1,0)</f>
        <v>#N/A</v>
      </c>
    </row>
    <row r="206" spans="1:12">
      <c r="A206" t="s">
        <v>621</v>
      </c>
      <c r="B206">
        <v>171177960</v>
      </c>
      <c r="C206" s="1" t="s">
        <v>622</v>
      </c>
      <c r="D206">
        <v>897000</v>
      </c>
      <c r="E206" t="s">
        <v>623</v>
      </c>
      <c r="F206">
        <v>250</v>
      </c>
      <c r="G206">
        <v>171117016</v>
      </c>
      <c r="H206">
        <v>56000</v>
      </c>
      <c r="I206">
        <v>1000</v>
      </c>
      <c r="J206">
        <v>560</v>
      </c>
      <c r="K206">
        <v>840000</v>
      </c>
      <c r="L206" t="e">
        <f>VLOOKUP(E206,Sheet1!A205:I266,1,0)</f>
        <v>#N/A</v>
      </c>
    </row>
    <row r="207" spans="1:12">
      <c r="A207" t="s">
        <v>624</v>
      </c>
      <c r="B207">
        <v>171177759</v>
      </c>
      <c r="C207" s="1" t="s">
        <v>625</v>
      </c>
      <c r="D207">
        <v>986600</v>
      </c>
      <c r="E207" t="s">
        <v>626</v>
      </c>
      <c r="F207">
        <v>49</v>
      </c>
      <c r="G207">
        <v>171116140</v>
      </c>
      <c r="H207">
        <v>61600</v>
      </c>
      <c r="I207">
        <v>1000</v>
      </c>
      <c r="J207">
        <v>616</v>
      </c>
      <c r="K207">
        <v>924000</v>
      </c>
      <c r="L207" t="e">
        <f>VLOOKUP(E207,Sheet1!A206:I267,1,0)</f>
        <v>#N/A</v>
      </c>
    </row>
    <row r="208" spans="1:12">
      <c r="A208" t="s">
        <v>627</v>
      </c>
      <c r="B208">
        <v>171177786</v>
      </c>
      <c r="C208" s="1" t="s">
        <v>628</v>
      </c>
      <c r="D208">
        <v>676200</v>
      </c>
      <c r="E208" t="s">
        <v>629</v>
      </c>
      <c r="F208">
        <v>76</v>
      </c>
      <c r="G208">
        <v>171116165</v>
      </c>
      <c r="H208">
        <v>42200</v>
      </c>
      <c r="I208">
        <v>1000</v>
      </c>
      <c r="J208">
        <v>422</v>
      </c>
      <c r="K208">
        <v>633000</v>
      </c>
      <c r="L208" t="e">
        <f>VLOOKUP(E208,Sheet1!A207:I268,1,0)</f>
        <v>#N/A</v>
      </c>
    </row>
    <row r="209" spans="1:12">
      <c r="A209" t="s">
        <v>630</v>
      </c>
      <c r="B209">
        <v>171177824</v>
      </c>
      <c r="C209" s="1" t="s">
        <v>631</v>
      </c>
      <c r="D209">
        <v>82600</v>
      </c>
      <c r="E209" t="s">
        <v>632</v>
      </c>
      <c r="F209">
        <v>114</v>
      </c>
      <c r="G209">
        <v>171116200</v>
      </c>
      <c r="H209">
        <v>5100</v>
      </c>
      <c r="I209">
        <v>1000</v>
      </c>
      <c r="J209">
        <v>51</v>
      </c>
      <c r="K209">
        <v>76500</v>
      </c>
      <c r="L209" t="e">
        <f>VLOOKUP(E209,Sheet1!A208:I269,1,0)</f>
        <v>#N/A</v>
      </c>
    </row>
    <row r="210" spans="1:12">
      <c r="A210" t="s">
        <v>633</v>
      </c>
      <c r="B210">
        <v>171178004</v>
      </c>
      <c r="C210" s="1" t="s">
        <v>634</v>
      </c>
      <c r="D210">
        <v>172200</v>
      </c>
      <c r="E210" t="s">
        <v>635</v>
      </c>
      <c r="F210">
        <v>294</v>
      </c>
      <c r="G210">
        <v>171117057</v>
      </c>
      <c r="H210">
        <v>10700</v>
      </c>
      <c r="I210">
        <v>1000</v>
      </c>
      <c r="J210">
        <v>107</v>
      </c>
      <c r="K210">
        <v>160500</v>
      </c>
      <c r="L210" t="e">
        <f>VLOOKUP(E210,Sheet1!A209:I270,1,0)</f>
        <v>#N/A</v>
      </c>
    </row>
    <row r="211" spans="1:12">
      <c r="A211" t="s">
        <v>636</v>
      </c>
      <c r="B211">
        <v>171177972</v>
      </c>
      <c r="C211" s="1" t="s">
        <v>637</v>
      </c>
      <c r="D211">
        <v>65000</v>
      </c>
      <c r="E211" t="s">
        <v>638</v>
      </c>
      <c r="F211">
        <v>262</v>
      </c>
      <c r="G211">
        <v>171117028</v>
      </c>
      <c r="H211">
        <v>4000</v>
      </c>
      <c r="I211">
        <v>1000</v>
      </c>
      <c r="J211">
        <v>40</v>
      </c>
      <c r="K211">
        <v>60000</v>
      </c>
      <c r="L211" t="e">
        <f>VLOOKUP(E211,Sheet1!A210:I271,1,0)</f>
        <v>#N/A</v>
      </c>
    </row>
    <row r="212" spans="1:12">
      <c r="A212" t="s">
        <v>639</v>
      </c>
      <c r="B212">
        <v>171177875</v>
      </c>
      <c r="C212" s="1" t="s">
        <v>640</v>
      </c>
      <c r="D212">
        <v>42600</v>
      </c>
      <c r="E212" t="s">
        <v>641</v>
      </c>
      <c r="F212">
        <v>165</v>
      </c>
      <c r="G212">
        <v>171116939</v>
      </c>
      <c r="H212">
        <v>2600</v>
      </c>
      <c r="I212">
        <v>1000</v>
      </c>
      <c r="J212">
        <v>26</v>
      </c>
      <c r="K212">
        <v>39000</v>
      </c>
      <c r="L212" t="e">
        <f>VLOOKUP(E212,Sheet1!A211:I272,1,0)</f>
        <v>#N/A</v>
      </c>
    </row>
    <row r="213" spans="1:12">
      <c r="A213" t="s">
        <v>642</v>
      </c>
      <c r="B213">
        <v>171178010</v>
      </c>
      <c r="C213" s="1" t="s">
        <v>643</v>
      </c>
      <c r="D213">
        <v>236200</v>
      </c>
      <c r="E213" t="s">
        <v>644</v>
      </c>
      <c r="F213">
        <v>300</v>
      </c>
      <c r="H213">
        <v>14700</v>
      </c>
      <c r="I213">
        <v>1000</v>
      </c>
      <c r="J213">
        <v>147</v>
      </c>
      <c r="K213">
        <v>220500</v>
      </c>
      <c r="L213" t="e">
        <f>VLOOKUP(E213,Sheet1!A212:I273,1,0)</f>
        <v>#N/A</v>
      </c>
    </row>
    <row r="214" spans="1:12">
      <c r="A214" t="s">
        <v>645</v>
      </c>
      <c r="B214">
        <v>171177932</v>
      </c>
      <c r="C214" s="1" t="s">
        <v>646</v>
      </c>
      <c r="D214">
        <v>410600</v>
      </c>
      <c r="E214" t="s">
        <v>647</v>
      </c>
      <c r="F214">
        <v>222</v>
      </c>
      <c r="G214">
        <v>171116991</v>
      </c>
      <c r="H214">
        <v>25600</v>
      </c>
      <c r="I214">
        <v>1000</v>
      </c>
      <c r="J214">
        <v>256</v>
      </c>
      <c r="K214">
        <v>384000</v>
      </c>
      <c r="L214" t="e">
        <f>VLOOKUP(E214,Sheet1!A213:I274,1,0)</f>
        <v>#N/A</v>
      </c>
    </row>
    <row r="215" spans="1:12">
      <c r="A215" t="s">
        <v>648</v>
      </c>
      <c r="B215">
        <v>171178320</v>
      </c>
      <c r="C215" s="1" t="s">
        <v>649</v>
      </c>
      <c r="D215">
        <v>1330600</v>
      </c>
      <c r="E215" t="s">
        <v>650</v>
      </c>
      <c r="F215">
        <v>239</v>
      </c>
      <c r="G215">
        <v>171117005</v>
      </c>
      <c r="H215">
        <v>83100</v>
      </c>
      <c r="I215">
        <v>1000</v>
      </c>
      <c r="J215">
        <v>831</v>
      </c>
      <c r="K215">
        <v>1246500</v>
      </c>
      <c r="L215" t="e">
        <f>VLOOKUP(E215,Sheet1!A214:I275,1,0)</f>
        <v>#N/A</v>
      </c>
    </row>
    <row r="216" spans="1:12">
      <c r="A216" t="s">
        <v>651</v>
      </c>
      <c r="B216">
        <v>171177809</v>
      </c>
      <c r="C216" s="1" t="s">
        <v>652</v>
      </c>
      <c r="D216">
        <v>353000</v>
      </c>
      <c r="E216" t="s">
        <v>653</v>
      </c>
      <c r="F216">
        <v>99</v>
      </c>
      <c r="G216">
        <v>171116185</v>
      </c>
      <c r="H216">
        <v>22000</v>
      </c>
      <c r="I216">
        <v>1000</v>
      </c>
      <c r="J216">
        <v>220</v>
      </c>
      <c r="K216">
        <v>330000</v>
      </c>
      <c r="L216" t="e">
        <f>VLOOKUP(E216,Sheet1!A215:I276,1,0)</f>
        <v>#N/A</v>
      </c>
    </row>
    <row r="217" spans="1:12">
      <c r="A217" t="s">
        <v>654</v>
      </c>
      <c r="B217">
        <v>171177712</v>
      </c>
      <c r="C217" s="1" t="s">
        <v>655</v>
      </c>
      <c r="D217">
        <v>50600</v>
      </c>
      <c r="E217" t="s">
        <v>656</v>
      </c>
      <c r="F217">
        <v>2</v>
      </c>
      <c r="G217">
        <v>171116095</v>
      </c>
      <c r="H217">
        <v>3100</v>
      </c>
      <c r="I217">
        <v>1000</v>
      </c>
      <c r="J217">
        <v>31</v>
      </c>
      <c r="K217">
        <v>46500</v>
      </c>
      <c r="L217" t="e">
        <f>VLOOKUP(E217,Sheet1!A216:I277,1,0)</f>
        <v>#N/A</v>
      </c>
    </row>
    <row r="218" spans="1:12">
      <c r="A218" t="s">
        <v>657</v>
      </c>
      <c r="B218">
        <v>171177713</v>
      </c>
      <c r="C218" s="1" t="s">
        <v>655</v>
      </c>
      <c r="D218">
        <v>151400</v>
      </c>
      <c r="E218" t="s">
        <v>658</v>
      </c>
      <c r="F218">
        <v>3</v>
      </c>
      <c r="G218">
        <v>171116096</v>
      </c>
      <c r="H218">
        <v>9400</v>
      </c>
      <c r="I218">
        <v>1000</v>
      </c>
      <c r="J218">
        <v>94</v>
      </c>
      <c r="K218">
        <v>141000</v>
      </c>
      <c r="L218" t="e">
        <f>VLOOKUP(E218,Sheet1!A217:I278,1,0)</f>
        <v>#N/A</v>
      </c>
    </row>
    <row r="219" spans="1:12">
      <c r="A219" t="s">
        <v>659</v>
      </c>
      <c r="B219">
        <v>171177944</v>
      </c>
      <c r="C219" s="1" t="s">
        <v>660</v>
      </c>
      <c r="D219">
        <v>455400</v>
      </c>
      <c r="E219" t="s">
        <v>661</v>
      </c>
      <c r="F219">
        <v>234</v>
      </c>
      <c r="G219">
        <v>171117001</v>
      </c>
      <c r="H219">
        <v>28400</v>
      </c>
      <c r="I219">
        <v>1000</v>
      </c>
      <c r="J219">
        <v>284</v>
      </c>
      <c r="K219">
        <v>426000</v>
      </c>
      <c r="L219" t="e">
        <f>VLOOKUP(E219,Sheet1!A218:I279,1,0)</f>
        <v>#N/A</v>
      </c>
    </row>
    <row r="220" spans="1:12">
      <c r="A220" t="s">
        <v>662</v>
      </c>
      <c r="B220">
        <v>171177916</v>
      </c>
      <c r="C220" s="1" t="s">
        <v>663</v>
      </c>
      <c r="D220">
        <v>215400</v>
      </c>
      <c r="E220" t="s">
        <v>664</v>
      </c>
      <c r="F220">
        <v>206</v>
      </c>
      <c r="G220">
        <v>171116976</v>
      </c>
      <c r="H220">
        <v>13400</v>
      </c>
      <c r="I220">
        <v>1000</v>
      </c>
      <c r="J220">
        <v>134</v>
      </c>
      <c r="K220">
        <v>201000</v>
      </c>
      <c r="L220" t="e">
        <f>VLOOKUP(E220,Sheet1!A219:I280,1,0)</f>
        <v>#N/A</v>
      </c>
    </row>
    <row r="221" spans="1:12">
      <c r="A221" t="s">
        <v>665</v>
      </c>
      <c r="B221">
        <v>171177970</v>
      </c>
      <c r="C221" s="1" t="s">
        <v>666</v>
      </c>
      <c r="D221">
        <v>277800</v>
      </c>
      <c r="E221" t="s">
        <v>667</v>
      </c>
      <c r="F221">
        <v>260</v>
      </c>
      <c r="G221">
        <v>171117026</v>
      </c>
      <c r="H221">
        <v>17300</v>
      </c>
      <c r="I221">
        <v>1000</v>
      </c>
      <c r="J221">
        <v>173</v>
      </c>
      <c r="K221">
        <v>259500</v>
      </c>
      <c r="L221" t="e">
        <f>VLOOKUP(E221,Sheet1!A220:I281,1,0)</f>
        <v>#N/A</v>
      </c>
    </row>
    <row r="222" spans="1:12">
      <c r="A222" t="s">
        <v>668</v>
      </c>
      <c r="B222">
        <v>171177887</v>
      </c>
      <c r="C222" s="1" t="s">
        <v>669</v>
      </c>
      <c r="D222">
        <v>82600</v>
      </c>
      <c r="E222" t="s">
        <v>670</v>
      </c>
      <c r="F222">
        <v>177</v>
      </c>
      <c r="G222">
        <v>171116949</v>
      </c>
      <c r="H222">
        <v>5100</v>
      </c>
      <c r="I222">
        <v>1000</v>
      </c>
      <c r="J222">
        <v>51</v>
      </c>
      <c r="K222">
        <v>76500</v>
      </c>
      <c r="L222" t="e">
        <f>VLOOKUP(E222,Sheet1!A221:I282,1,0)</f>
        <v>#N/A</v>
      </c>
    </row>
    <row r="223" spans="1:12">
      <c r="A223" t="s">
        <v>671</v>
      </c>
      <c r="B223">
        <v>171178000</v>
      </c>
      <c r="C223" s="1" t="s">
        <v>672</v>
      </c>
      <c r="D223">
        <v>962600</v>
      </c>
      <c r="E223" t="s">
        <v>673</v>
      </c>
      <c r="F223">
        <v>290</v>
      </c>
      <c r="G223">
        <v>171117054</v>
      </c>
      <c r="H223">
        <v>60100</v>
      </c>
      <c r="I223">
        <v>1000</v>
      </c>
      <c r="J223">
        <v>601</v>
      </c>
      <c r="K223">
        <v>901500</v>
      </c>
      <c r="L223" t="e">
        <f>VLOOKUP(E223,Sheet1!A222:I283,1,0)</f>
        <v>#N/A</v>
      </c>
    </row>
    <row r="224" spans="1:12">
      <c r="A224" t="s">
        <v>674</v>
      </c>
      <c r="B224">
        <v>171177843</v>
      </c>
      <c r="C224" s="1" t="s">
        <v>675</v>
      </c>
      <c r="D224">
        <v>58600</v>
      </c>
      <c r="E224" t="s">
        <v>676</v>
      </c>
      <c r="F224">
        <v>133</v>
      </c>
      <c r="G224">
        <v>171116218</v>
      </c>
      <c r="H224">
        <v>3600</v>
      </c>
      <c r="I224">
        <v>1000</v>
      </c>
      <c r="J224">
        <v>36</v>
      </c>
      <c r="K224">
        <v>54000</v>
      </c>
      <c r="L224" t="e">
        <f>VLOOKUP(E224,Sheet1!A223:I284,1,0)</f>
        <v>#N/A</v>
      </c>
    </row>
    <row r="225" spans="1:12">
      <c r="A225" t="s">
        <v>677</v>
      </c>
      <c r="B225">
        <v>171177811</v>
      </c>
      <c r="C225" s="1" t="s">
        <v>678</v>
      </c>
      <c r="D225">
        <v>463400</v>
      </c>
      <c r="E225" t="s">
        <v>679</v>
      </c>
      <c r="F225">
        <v>101</v>
      </c>
      <c r="G225">
        <v>171116187</v>
      </c>
      <c r="H225">
        <v>28900</v>
      </c>
      <c r="I225">
        <v>1000</v>
      </c>
      <c r="J225">
        <v>289</v>
      </c>
      <c r="K225">
        <v>433500</v>
      </c>
      <c r="L225" t="e">
        <f>VLOOKUP(E225,Sheet1!A224:I285,1,0)</f>
        <v>#N/A</v>
      </c>
    </row>
    <row r="226" spans="1:12">
      <c r="A226" t="s">
        <v>680</v>
      </c>
      <c r="B226">
        <v>171177968</v>
      </c>
      <c r="C226" s="1" t="s">
        <v>681</v>
      </c>
      <c r="D226">
        <v>162600</v>
      </c>
      <c r="E226" t="s">
        <v>682</v>
      </c>
      <c r="F226">
        <v>258</v>
      </c>
      <c r="G226">
        <v>171117024</v>
      </c>
      <c r="H226">
        <v>10100</v>
      </c>
      <c r="I226">
        <v>1000</v>
      </c>
      <c r="J226">
        <v>101</v>
      </c>
      <c r="K226">
        <v>151500</v>
      </c>
      <c r="L226" t="e">
        <f>VLOOKUP(E226,Sheet1!A225:I286,1,0)</f>
        <v>#N/A</v>
      </c>
    </row>
    <row r="227" spans="1:12">
      <c r="A227" t="s">
        <v>683</v>
      </c>
      <c r="B227">
        <v>171177897</v>
      </c>
      <c r="C227" s="1" t="s">
        <v>684</v>
      </c>
      <c r="D227">
        <v>3194600</v>
      </c>
      <c r="E227" t="s">
        <v>685</v>
      </c>
      <c r="F227">
        <v>187</v>
      </c>
      <c r="G227">
        <v>171116959</v>
      </c>
      <c r="H227">
        <v>199600</v>
      </c>
      <c r="I227">
        <v>1000</v>
      </c>
      <c r="J227">
        <v>1996</v>
      </c>
      <c r="K227">
        <v>2994000</v>
      </c>
      <c r="L227" t="e">
        <f>VLOOKUP(E227,Sheet1!A226:I287,1,0)</f>
        <v>#N/A</v>
      </c>
    </row>
    <row r="228" spans="1:12">
      <c r="A228" t="s">
        <v>686</v>
      </c>
      <c r="B228">
        <v>171178006</v>
      </c>
      <c r="C228" s="1" t="s">
        <v>687</v>
      </c>
      <c r="D228">
        <v>244200</v>
      </c>
      <c r="E228" t="s">
        <v>688</v>
      </c>
      <c r="F228">
        <v>296</v>
      </c>
      <c r="G228">
        <v>171117059</v>
      </c>
      <c r="H228">
        <v>15200</v>
      </c>
      <c r="I228">
        <v>1000</v>
      </c>
      <c r="J228">
        <v>152</v>
      </c>
      <c r="K228">
        <v>228000</v>
      </c>
      <c r="L228" t="e">
        <f>VLOOKUP(E228,Sheet1!A227:I288,1,0)</f>
        <v>#N/A</v>
      </c>
    </row>
  </sheetData>
  <pageMargins left="0.78749999999999998" right="0.78749999999999998" top="1.05277777777778" bottom="1.05277777777778" header="0.78749999999999998" footer="0.78749999999999998"/>
  <pageSetup paperSize="0" scale="0" orientation="portrait" usePrinterDefaults="0" useFirstPageNumber="1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2"/>
  <sheetViews>
    <sheetView topLeftCell="A61" workbookViewId="0">
      <selection activeCell="A2" sqref="A2"/>
    </sheetView>
  </sheetViews>
  <sheetFormatPr defaultRowHeight="12.3"/>
  <cols>
    <col min="7" max="7" width="12.0546875" bestFit="1" customWidth="1"/>
    <col min="8" max="8" width="10.94140625" bestFit="1" customWidth="1"/>
    <col min="9" max="9" width="9.71875" bestFit="1" customWidth="1"/>
  </cols>
  <sheetData>
    <row r="1" spans="1:9" ht="20.7">
      <c r="A1" s="3" t="s">
        <v>691</v>
      </c>
      <c r="B1" s="2" t="s">
        <v>689</v>
      </c>
      <c r="C1" s="2" t="s">
        <v>690</v>
      </c>
      <c r="D1" s="3" t="s">
        <v>692</v>
      </c>
      <c r="E1" s="3" t="s">
        <v>693</v>
      </c>
      <c r="F1" s="3" t="s">
        <v>694</v>
      </c>
      <c r="G1" s="3" t="s">
        <v>695</v>
      </c>
      <c r="H1" s="3" t="s">
        <v>696</v>
      </c>
    </row>
    <row r="2" spans="1:9" ht="20.7">
      <c r="A2" s="5" t="s">
        <v>13</v>
      </c>
      <c r="B2" s="4">
        <v>1</v>
      </c>
      <c r="C2" s="2" t="s">
        <v>12</v>
      </c>
      <c r="D2" s="6">
        <v>328</v>
      </c>
      <c r="E2" s="6">
        <v>32800</v>
      </c>
      <c r="F2" s="6">
        <v>1000</v>
      </c>
      <c r="G2" s="6">
        <v>492000</v>
      </c>
      <c r="H2" s="6">
        <v>525800</v>
      </c>
      <c r="I2">
        <f>VLOOKUP(A2,[1]Sheet2!A1:K214,7,0)</f>
        <v>171116985</v>
      </c>
    </row>
    <row r="3" spans="1:9" ht="20.7">
      <c r="A3" s="5" t="s">
        <v>16</v>
      </c>
      <c r="B3" s="4">
        <v>2</v>
      </c>
      <c r="C3" s="2" t="s">
        <v>15</v>
      </c>
      <c r="D3" s="6">
        <v>101</v>
      </c>
      <c r="E3" s="6">
        <v>10100</v>
      </c>
      <c r="F3" s="6">
        <v>1000</v>
      </c>
      <c r="G3" s="6">
        <v>151500</v>
      </c>
      <c r="H3" s="6">
        <v>162600</v>
      </c>
      <c r="I3">
        <f>VLOOKUP(A3,[1]Sheet2!A2:K215,7,0)</f>
        <v>171116945</v>
      </c>
    </row>
    <row r="4" spans="1:9" ht="20.7">
      <c r="A4" s="5" t="s">
        <v>19</v>
      </c>
      <c r="B4" s="4">
        <v>3</v>
      </c>
      <c r="C4" s="2" t="s">
        <v>18</v>
      </c>
      <c r="D4" s="6">
        <v>102</v>
      </c>
      <c r="E4" s="6">
        <v>10200</v>
      </c>
      <c r="F4" s="6">
        <v>1000</v>
      </c>
      <c r="G4" s="6">
        <v>153000</v>
      </c>
      <c r="H4" s="6">
        <v>164200</v>
      </c>
      <c r="I4">
        <f>VLOOKUP(A4,[1]Sheet2!A3:K216,7,0)</f>
        <v>171116132</v>
      </c>
    </row>
    <row r="5" spans="1:9" ht="20.7">
      <c r="A5" s="5" t="s">
        <v>22</v>
      </c>
      <c r="B5" s="4">
        <v>4</v>
      </c>
      <c r="C5" s="2" t="s">
        <v>697</v>
      </c>
      <c r="D5" s="6">
        <v>203</v>
      </c>
      <c r="E5" s="6">
        <v>20300</v>
      </c>
      <c r="F5" s="6">
        <v>1000</v>
      </c>
      <c r="G5" s="6">
        <v>304500</v>
      </c>
      <c r="H5" s="6">
        <v>325800</v>
      </c>
      <c r="I5">
        <f>VLOOKUP(A5,[1]Sheet2!A4:K217,7,0)</f>
        <v>171116139</v>
      </c>
    </row>
    <row r="6" spans="1:9" ht="20.7">
      <c r="A6" s="5" t="s">
        <v>25</v>
      </c>
      <c r="B6" s="4">
        <v>5</v>
      </c>
      <c r="C6" s="2" t="s">
        <v>24</v>
      </c>
      <c r="D6" s="6">
        <v>198</v>
      </c>
      <c r="E6" s="6">
        <v>19800</v>
      </c>
      <c r="F6" s="6">
        <v>1000</v>
      </c>
      <c r="G6" s="6">
        <v>297000</v>
      </c>
      <c r="H6" s="6">
        <v>317800</v>
      </c>
      <c r="I6">
        <f>VLOOKUP(A6,[1]Sheet2!A5:K218,7,0)</f>
        <v>171116115</v>
      </c>
    </row>
    <row r="7" spans="1:9" ht="20.7">
      <c r="A7" s="5" t="s">
        <v>28</v>
      </c>
      <c r="B7" s="4">
        <v>6</v>
      </c>
      <c r="C7" s="2" t="s">
        <v>27</v>
      </c>
      <c r="D7" s="6">
        <v>318</v>
      </c>
      <c r="E7" s="6">
        <v>31800</v>
      </c>
      <c r="F7" s="6">
        <v>1000</v>
      </c>
      <c r="G7" s="6">
        <v>477000</v>
      </c>
      <c r="H7" s="6">
        <v>509800</v>
      </c>
      <c r="I7">
        <f>VLOOKUP(A7,[1]Sheet2!A6:K219,7,0)</f>
        <v>171116215</v>
      </c>
    </row>
    <row r="8" spans="1:9" ht="20.7">
      <c r="A8" s="5" t="s">
        <v>31</v>
      </c>
      <c r="B8" s="4">
        <v>7</v>
      </c>
      <c r="C8" s="2" t="s">
        <v>30</v>
      </c>
      <c r="D8" s="6">
        <v>383</v>
      </c>
      <c r="E8" s="6">
        <v>38300</v>
      </c>
      <c r="F8" s="6">
        <v>1000</v>
      </c>
      <c r="G8" s="6">
        <v>574500</v>
      </c>
      <c r="H8" s="6">
        <v>613800</v>
      </c>
      <c r="I8">
        <f>VLOOKUP(A8,[1]Sheet2!A7:K220,7,0)</f>
        <v>171116214</v>
      </c>
    </row>
    <row r="9" spans="1:9" ht="20.7">
      <c r="A9" s="5" t="s">
        <v>34</v>
      </c>
      <c r="B9" s="4">
        <v>8</v>
      </c>
      <c r="C9" s="2" t="s">
        <v>33</v>
      </c>
      <c r="D9" s="6">
        <v>204</v>
      </c>
      <c r="E9" s="6">
        <v>20400</v>
      </c>
      <c r="F9" s="6">
        <v>1000</v>
      </c>
      <c r="G9" s="6">
        <v>306000</v>
      </c>
      <c r="H9" s="6">
        <v>327400</v>
      </c>
      <c r="I9">
        <f>VLOOKUP(A9,[1]Sheet2!A8:K221,7,0)</f>
        <v>171116213</v>
      </c>
    </row>
    <row r="10" spans="1:9" ht="20.7">
      <c r="A10" s="5" t="s">
        <v>37</v>
      </c>
      <c r="B10" s="4">
        <v>9</v>
      </c>
      <c r="C10" s="2" t="s">
        <v>36</v>
      </c>
      <c r="D10" s="6">
        <v>616</v>
      </c>
      <c r="E10" s="6">
        <v>61600</v>
      </c>
      <c r="F10" s="6">
        <v>1000</v>
      </c>
      <c r="G10" s="6">
        <v>924000</v>
      </c>
      <c r="H10" s="6">
        <v>986600</v>
      </c>
      <c r="I10">
        <f>VLOOKUP(A10,[1]Sheet2!A9:K222,7,0)</f>
        <v>171116116</v>
      </c>
    </row>
    <row r="11" spans="1:9" ht="20.7">
      <c r="A11" s="5" t="s">
        <v>40</v>
      </c>
      <c r="B11" s="4">
        <v>10</v>
      </c>
      <c r="C11" s="2" t="s">
        <v>39</v>
      </c>
      <c r="D11" s="6">
        <v>833</v>
      </c>
      <c r="E11" s="6">
        <v>83300</v>
      </c>
      <c r="F11" s="6">
        <v>1000</v>
      </c>
      <c r="G11" s="6">
        <v>1249500</v>
      </c>
      <c r="H11" s="6">
        <v>1333800</v>
      </c>
      <c r="I11">
        <f>VLOOKUP(A11,[1]Sheet2!A10:K223,7,0)</f>
        <v>171116180</v>
      </c>
    </row>
    <row r="12" spans="1:9" ht="20.7">
      <c r="A12" s="5" t="s">
        <v>43</v>
      </c>
      <c r="B12" s="4">
        <v>11</v>
      </c>
      <c r="C12" s="2" t="s">
        <v>42</v>
      </c>
      <c r="D12" s="6">
        <v>135</v>
      </c>
      <c r="E12" s="6">
        <v>13500</v>
      </c>
      <c r="F12" s="6">
        <v>1000</v>
      </c>
      <c r="G12" s="6">
        <v>202500</v>
      </c>
      <c r="H12" s="6">
        <v>217000</v>
      </c>
      <c r="I12">
        <f>VLOOKUP(A12,[1]Sheet2!A11:K224,7,0)</f>
        <v>171116097</v>
      </c>
    </row>
    <row r="13" spans="1:9" ht="20.7">
      <c r="A13" s="5" t="s">
        <v>45</v>
      </c>
      <c r="B13" s="4">
        <v>12</v>
      </c>
      <c r="C13" s="2" t="s">
        <v>42</v>
      </c>
      <c r="D13" s="6">
        <v>153</v>
      </c>
      <c r="E13" s="6">
        <v>15300</v>
      </c>
      <c r="F13" s="6">
        <v>1000</v>
      </c>
      <c r="G13" s="6">
        <v>229500</v>
      </c>
      <c r="H13" s="6">
        <v>245800</v>
      </c>
      <c r="I13">
        <f>VLOOKUP(A13,[1]Sheet2!A12:K225,7,0)</f>
        <v>171116098</v>
      </c>
    </row>
    <row r="14" spans="1:9" ht="20.7">
      <c r="A14" s="5" t="s">
        <v>48</v>
      </c>
      <c r="B14" s="4">
        <v>13</v>
      </c>
      <c r="C14" s="2" t="s">
        <v>47</v>
      </c>
      <c r="D14" s="6">
        <v>66</v>
      </c>
      <c r="E14" s="6">
        <v>6600</v>
      </c>
      <c r="F14" s="6">
        <v>1000</v>
      </c>
      <c r="G14" s="6">
        <v>99000</v>
      </c>
      <c r="H14" s="6">
        <v>106600</v>
      </c>
      <c r="I14">
        <f>VLOOKUP(A14,[1]Sheet2!A13:K226,7,0)</f>
        <v>171116942</v>
      </c>
    </row>
    <row r="15" spans="1:9" ht="20.7">
      <c r="A15" s="5" t="s">
        <v>51</v>
      </c>
      <c r="B15" s="4">
        <v>14</v>
      </c>
      <c r="C15" s="2" t="s">
        <v>50</v>
      </c>
      <c r="D15" s="6">
        <v>382</v>
      </c>
      <c r="E15" s="6">
        <v>38200</v>
      </c>
      <c r="F15" s="6">
        <v>1000</v>
      </c>
      <c r="G15" s="6">
        <v>573000</v>
      </c>
      <c r="H15" s="6">
        <v>612200</v>
      </c>
      <c r="I15">
        <f>VLOOKUP(A15,[1]Sheet2!A14:K227,7,0)</f>
        <v>171117043</v>
      </c>
    </row>
    <row r="16" spans="1:9" ht="20.7">
      <c r="A16" s="5" t="s">
        <v>54</v>
      </c>
      <c r="B16" s="4">
        <v>15</v>
      </c>
      <c r="C16" s="2" t="s">
        <v>53</v>
      </c>
      <c r="D16" s="6">
        <v>60</v>
      </c>
      <c r="E16" s="6">
        <v>6000</v>
      </c>
      <c r="F16" s="6">
        <v>1000</v>
      </c>
      <c r="G16" s="6">
        <v>90000</v>
      </c>
      <c r="H16" s="6">
        <v>97000</v>
      </c>
      <c r="I16">
        <f>VLOOKUP(A16,[1]Sheet2!A15:K228,7,0)</f>
        <v>171116935</v>
      </c>
    </row>
    <row r="17" spans="1:9" ht="20.7">
      <c r="A17" s="5" t="s">
        <v>57</v>
      </c>
      <c r="B17" s="4">
        <v>16</v>
      </c>
      <c r="C17" s="2" t="s">
        <v>56</v>
      </c>
      <c r="D17" s="6">
        <v>52</v>
      </c>
      <c r="E17" s="6">
        <v>5200</v>
      </c>
      <c r="F17" s="6">
        <v>1000</v>
      </c>
      <c r="G17" s="6">
        <v>78000</v>
      </c>
      <c r="H17" s="6">
        <v>84200</v>
      </c>
      <c r="I17">
        <f>VLOOKUP(A17,[1]Sheet2!A16:K229,7,0)</f>
        <v>171117013</v>
      </c>
    </row>
    <row r="18" spans="1:9" ht="20.7">
      <c r="A18" s="5" t="s">
        <v>60</v>
      </c>
      <c r="B18" s="4">
        <v>17</v>
      </c>
      <c r="C18" s="2" t="s">
        <v>59</v>
      </c>
      <c r="D18" s="6">
        <v>39</v>
      </c>
      <c r="E18" s="6">
        <v>3900</v>
      </c>
      <c r="F18" s="6">
        <v>1000</v>
      </c>
      <c r="G18" s="6">
        <v>58500</v>
      </c>
      <c r="H18" s="6">
        <v>63400</v>
      </c>
      <c r="I18">
        <f>VLOOKUP(A18,[1]Sheet2!A17:K230,7,0)</f>
        <v>171116965</v>
      </c>
    </row>
    <row r="19" spans="1:9" ht="20.7">
      <c r="A19" s="5" t="s">
        <v>63</v>
      </c>
      <c r="B19" s="4">
        <v>18</v>
      </c>
      <c r="C19" s="2" t="s">
        <v>62</v>
      </c>
      <c r="D19" s="6">
        <v>14</v>
      </c>
      <c r="E19" s="6">
        <v>1400</v>
      </c>
      <c r="F19" s="6">
        <v>1000</v>
      </c>
      <c r="G19" s="6">
        <v>21000</v>
      </c>
      <c r="H19" s="6">
        <v>23400</v>
      </c>
      <c r="I19">
        <f>VLOOKUP(A19,[1]Sheet2!A18:K231,7,0)</f>
        <v>171116130</v>
      </c>
    </row>
    <row r="20" spans="1:9" ht="20.7">
      <c r="A20" s="5" t="s">
        <v>66</v>
      </c>
      <c r="B20" s="4">
        <v>19</v>
      </c>
      <c r="C20" s="2" t="s">
        <v>698</v>
      </c>
      <c r="D20" s="6">
        <v>51</v>
      </c>
      <c r="E20" s="6">
        <v>5100</v>
      </c>
      <c r="F20" s="6">
        <v>1000</v>
      </c>
      <c r="G20" s="6">
        <v>76500</v>
      </c>
      <c r="H20" s="6">
        <v>82600</v>
      </c>
      <c r="I20">
        <f>VLOOKUP(A20,[1]Sheet2!A19:K232,7,0)</f>
        <v>171116141</v>
      </c>
    </row>
    <row r="21" spans="1:9" ht="20.7">
      <c r="A21" s="5" t="s">
        <v>69</v>
      </c>
      <c r="B21" s="4">
        <v>20</v>
      </c>
      <c r="C21" s="2" t="s">
        <v>68</v>
      </c>
      <c r="D21" s="6">
        <v>246</v>
      </c>
      <c r="E21" s="6">
        <v>24600</v>
      </c>
      <c r="F21" s="6">
        <v>1000</v>
      </c>
      <c r="G21" s="6">
        <v>369000</v>
      </c>
      <c r="H21" s="6">
        <v>394600</v>
      </c>
      <c r="I21">
        <f>VLOOKUP(A21,[1]Sheet2!A20:K233,7,0)</f>
        <v>171116149</v>
      </c>
    </row>
    <row r="22" spans="1:9" ht="20.7">
      <c r="A22" s="5" t="s">
        <v>72</v>
      </c>
      <c r="B22" s="4">
        <v>21</v>
      </c>
      <c r="C22" s="2" t="s">
        <v>71</v>
      </c>
      <c r="D22" s="6">
        <v>227</v>
      </c>
      <c r="E22" s="6">
        <v>22700</v>
      </c>
      <c r="F22" s="6">
        <v>1000</v>
      </c>
      <c r="G22" s="6">
        <v>340500</v>
      </c>
      <c r="H22" s="6">
        <v>364200</v>
      </c>
      <c r="I22">
        <f>VLOOKUP(A22,[1]Sheet2!A21:K234,7,0)</f>
        <v>171116121</v>
      </c>
    </row>
    <row r="23" spans="1:9" ht="20.7">
      <c r="A23" s="5" t="s">
        <v>75</v>
      </c>
      <c r="B23" s="4">
        <v>22</v>
      </c>
      <c r="C23" s="2" t="s">
        <v>74</v>
      </c>
      <c r="D23" s="6">
        <v>39</v>
      </c>
      <c r="E23" s="6">
        <v>3900</v>
      </c>
      <c r="F23" s="6">
        <v>1000</v>
      </c>
      <c r="G23" s="6">
        <v>58500</v>
      </c>
      <c r="H23" s="6">
        <v>63400</v>
      </c>
      <c r="I23">
        <f>VLOOKUP(A23,[1]Sheet2!A22:K235,7,0)</f>
        <v>171116129</v>
      </c>
    </row>
    <row r="24" spans="1:9" ht="20.7">
      <c r="A24" s="5" t="s">
        <v>78</v>
      </c>
      <c r="B24" s="4">
        <v>23</v>
      </c>
      <c r="C24" s="2" t="s">
        <v>77</v>
      </c>
      <c r="D24" s="6">
        <v>17</v>
      </c>
      <c r="E24" s="6">
        <v>1700</v>
      </c>
      <c r="F24" s="6">
        <v>1000</v>
      </c>
      <c r="G24" s="6">
        <v>25500</v>
      </c>
      <c r="H24" s="6">
        <v>28200</v>
      </c>
      <c r="I24">
        <f>VLOOKUP(A24,[1]Sheet2!A23:K236,7,0)</f>
        <v>171117017</v>
      </c>
    </row>
    <row r="25" spans="1:9" ht="20.7">
      <c r="A25" s="5" t="s">
        <v>81</v>
      </c>
      <c r="B25" s="4">
        <v>24</v>
      </c>
      <c r="C25" s="2" t="s">
        <v>80</v>
      </c>
      <c r="D25" s="6">
        <v>252</v>
      </c>
      <c r="E25" s="6">
        <v>25200</v>
      </c>
      <c r="F25" s="6">
        <v>1000</v>
      </c>
      <c r="G25" s="6">
        <v>378000</v>
      </c>
      <c r="H25" s="6">
        <v>404200</v>
      </c>
      <c r="I25">
        <f>VLOOKUP(A25,[1]Sheet2!A24:K237,7,0)</f>
        <v>171116100</v>
      </c>
    </row>
    <row r="26" spans="1:9" ht="20.7">
      <c r="A26" s="5" t="s">
        <v>84</v>
      </c>
      <c r="B26" s="4">
        <v>25</v>
      </c>
      <c r="C26" s="2" t="s">
        <v>83</v>
      </c>
      <c r="D26" s="6">
        <v>223</v>
      </c>
      <c r="E26" s="6">
        <v>22300</v>
      </c>
      <c r="F26" s="6">
        <v>1000</v>
      </c>
      <c r="G26" s="6">
        <v>334500</v>
      </c>
      <c r="H26" s="6">
        <v>357800</v>
      </c>
      <c r="I26">
        <f>VLOOKUP(A26,[1]Sheet2!A25:K238,7,0)</f>
        <v>171116197</v>
      </c>
    </row>
    <row r="27" spans="1:9" ht="20.7">
      <c r="A27" s="5" t="s">
        <v>87</v>
      </c>
      <c r="B27" s="4">
        <v>26</v>
      </c>
      <c r="C27" s="2" t="s">
        <v>86</v>
      </c>
      <c r="D27" s="6">
        <v>390</v>
      </c>
      <c r="E27" s="6">
        <v>39000</v>
      </c>
      <c r="F27" s="6">
        <v>1000</v>
      </c>
      <c r="G27" s="6">
        <v>585000</v>
      </c>
      <c r="H27" s="6">
        <v>625000</v>
      </c>
      <c r="I27">
        <f>VLOOKUP(A27,[1]Sheet2!A26:K239,7,0)</f>
        <v>171117010</v>
      </c>
    </row>
    <row r="28" spans="1:9" ht="20.7">
      <c r="A28" s="5" t="s">
        <v>90</v>
      </c>
      <c r="B28" s="4">
        <v>27</v>
      </c>
      <c r="C28" s="2" t="s">
        <v>89</v>
      </c>
      <c r="D28" s="6">
        <v>565</v>
      </c>
      <c r="E28" s="6">
        <v>56500</v>
      </c>
      <c r="F28" s="6">
        <v>1000</v>
      </c>
      <c r="G28" s="6">
        <v>847500</v>
      </c>
      <c r="H28" s="6">
        <v>905000</v>
      </c>
      <c r="I28">
        <f>VLOOKUP(A28,[1]Sheet2!A27:K240,7,0)</f>
        <v>171116986</v>
      </c>
    </row>
    <row r="29" spans="1:9" ht="20.7">
      <c r="A29" s="5" t="s">
        <v>93</v>
      </c>
      <c r="B29" s="4">
        <v>28</v>
      </c>
      <c r="C29" s="2" t="s">
        <v>92</v>
      </c>
      <c r="D29" s="6">
        <v>389</v>
      </c>
      <c r="E29" s="6">
        <v>38900</v>
      </c>
      <c r="F29" s="6">
        <v>1000</v>
      </c>
      <c r="G29" s="6">
        <v>583500</v>
      </c>
      <c r="H29" s="6">
        <v>623400</v>
      </c>
      <c r="I29">
        <f>VLOOKUP(A29,[1]Sheet2!A28:K241,7,0)</f>
        <v>171116117</v>
      </c>
    </row>
    <row r="30" spans="1:9" ht="20.7">
      <c r="A30" s="5" t="s">
        <v>96</v>
      </c>
      <c r="B30" s="4">
        <v>29</v>
      </c>
      <c r="C30" s="2" t="s">
        <v>95</v>
      </c>
      <c r="D30" s="6">
        <v>442</v>
      </c>
      <c r="E30" s="6">
        <v>44200</v>
      </c>
      <c r="F30" s="6">
        <v>1000</v>
      </c>
      <c r="G30" s="6">
        <v>663000</v>
      </c>
      <c r="H30" s="6">
        <v>708200</v>
      </c>
      <c r="I30">
        <f>VLOOKUP(A30,[1]Sheet2!A29:K242,7,0)</f>
        <v>171117040</v>
      </c>
    </row>
    <row r="31" spans="1:9" ht="20.7">
      <c r="A31" s="5" t="s">
        <v>99</v>
      </c>
      <c r="B31" s="4">
        <v>30</v>
      </c>
      <c r="C31" s="2" t="s">
        <v>98</v>
      </c>
      <c r="D31" s="6">
        <v>81</v>
      </c>
      <c r="E31" s="6">
        <v>8100</v>
      </c>
      <c r="F31" s="6">
        <v>1000</v>
      </c>
      <c r="G31" s="6">
        <v>121500</v>
      </c>
      <c r="H31" s="6">
        <v>130600</v>
      </c>
      <c r="I31">
        <f>VLOOKUP(A31,[1]Sheet2!A30:K243,7,0)</f>
        <v>171116995</v>
      </c>
    </row>
    <row r="32" spans="1:9" ht="20.7">
      <c r="A32" s="5" t="s">
        <v>102</v>
      </c>
      <c r="B32" s="4">
        <v>31</v>
      </c>
      <c r="C32" s="2" t="s">
        <v>101</v>
      </c>
      <c r="D32" s="6">
        <v>65</v>
      </c>
      <c r="E32" s="6">
        <v>6500</v>
      </c>
      <c r="F32" s="6">
        <v>1000</v>
      </c>
      <c r="G32" s="6">
        <v>97500</v>
      </c>
      <c r="H32" s="6">
        <v>105000</v>
      </c>
      <c r="I32">
        <f>VLOOKUP(A32,[1]Sheet2!A31:K244,7,0)</f>
        <v>171116972</v>
      </c>
    </row>
    <row r="33" spans="1:9" ht="20.7">
      <c r="A33" s="5" t="s">
        <v>105</v>
      </c>
      <c r="B33" s="4">
        <v>32</v>
      </c>
      <c r="C33" s="2" t="s">
        <v>104</v>
      </c>
      <c r="D33" s="6">
        <v>73</v>
      </c>
      <c r="E33" s="6">
        <v>7300</v>
      </c>
      <c r="F33" s="6">
        <v>1000</v>
      </c>
      <c r="G33" s="6">
        <v>109500</v>
      </c>
      <c r="H33" s="6">
        <v>117800</v>
      </c>
      <c r="I33">
        <f>VLOOKUP(A33,[1]Sheet2!A32:K245,7,0)</f>
        <v>171117025</v>
      </c>
    </row>
    <row r="34" spans="1:9" ht="20.7">
      <c r="A34" s="5" t="s">
        <v>108</v>
      </c>
      <c r="B34" s="4">
        <v>33</v>
      </c>
      <c r="C34" s="2" t="s">
        <v>107</v>
      </c>
      <c r="D34" s="6">
        <v>81</v>
      </c>
      <c r="E34" s="6">
        <v>8100</v>
      </c>
      <c r="F34" s="6">
        <v>1000</v>
      </c>
      <c r="G34" s="6">
        <v>121500</v>
      </c>
      <c r="H34" s="6">
        <v>130600</v>
      </c>
      <c r="I34">
        <f>VLOOKUP(A34,[1]Sheet2!A33:K246,7,0)</f>
        <v>171117006</v>
      </c>
    </row>
    <row r="35" spans="1:9" ht="20.7">
      <c r="A35" s="5" t="s">
        <v>111</v>
      </c>
      <c r="B35" s="4">
        <v>34</v>
      </c>
      <c r="C35" s="2" t="s">
        <v>110</v>
      </c>
      <c r="D35" s="6">
        <v>53</v>
      </c>
      <c r="E35" s="6">
        <v>5300</v>
      </c>
      <c r="F35" s="6">
        <v>1000</v>
      </c>
      <c r="G35" s="6">
        <v>79500</v>
      </c>
      <c r="H35" s="6">
        <v>85800</v>
      </c>
      <c r="I35">
        <f>VLOOKUP(A35,[1]Sheet2!A34:K247,7,0)</f>
        <v>171116191</v>
      </c>
    </row>
    <row r="36" spans="1:9" ht="20.7">
      <c r="A36" s="5" t="s">
        <v>114</v>
      </c>
      <c r="B36" s="4">
        <v>35</v>
      </c>
      <c r="C36" s="2" t="s">
        <v>113</v>
      </c>
      <c r="D36" s="6">
        <v>20</v>
      </c>
      <c r="E36" s="6">
        <v>2000</v>
      </c>
      <c r="F36" s="6">
        <v>1000</v>
      </c>
      <c r="G36" s="6">
        <v>30000</v>
      </c>
      <c r="H36" s="6">
        <v>33000</v>
      </c>
      <c r="I36">
        <f>VLOOKUP(A36,[1]Sheet2!A35:K248,7,0)</f>
        <v>171116138</v>
      </c>
    </row>
    <row r="37" spans="1:9" ht="20.7">
      <c r="A37" s="5" t="s">
        <v>117</v>
      </c>
      <c r="B37" s="4">
        <v>36</v>
      </c>
      <c r="C37" s="2" t="s">
        <v>116</v>
      </c>
      <c r="D37" s="6">
        <v>46</v>
      </c>
      <c r="E37" s="6">
        <v>4600</v>
      </c>
      <c r="F37" s="6">
        <v>1000</v>
      </c>
      <c r="G37" s="6">
        <v>69000</v>
      </c>
      <c r="H37" s="6">
        <v>74600</v>
      </c>
      <c r="I37">
        <f>VLOOKUP(A37,[1]Sheet2!A36:K249,7,0)</f>
        <v>171116944</v>
      </c>
    </row>
    <row r="38" spans="1:9" ht="20.7">
      <c r="A38" s="5" t="s">
        <v>120</v>
      </c>
      <c r="B38" s="4">
        <v>37</v>
      </c>
      <c r="C38" s="2" t="s">
        <v>699</v>
      </c>
      <c r="D38" s="6">
        <v>619</v>
      </c>
      <c r="E38" s="6">
        <v>61900</v>
      </c>
      <c r="F38" s="6">
        <v>1000</v>
      </c>
      <c r="G38" s="6">
        <v>928500</v>
      </c>
      <c r="H38" s="6">
        <v>991400</v>
      </c>
      <c r="I38">
        <f>VLOOKUP(A38,[1]Sheet2!A37:K250,7,0)</f>
        <v>171116151</v>
      </c>
    </row>
    <row r="39" spans="1:9" ht="20.7">
      <c r="A39" s="5" t="s">
        <v>123</v>
      </c>
      <c r="B39" s="4">
        <v>38</v>
      </c>
      <c r="C39" s="2" t="s">
        <v>122</v>
      </c>
      <c r="D39" s="6">
        <v>75</v>
      </c>
      <c r="E39" s="6">
        <v>7500</v>
      </c>
      <c r="F39" s="6">
        <v>1000</v>
      </c>
      <c r="G39" s="6">
        <v>112500</v>
      </c>
      <c r="H39" s="6">
        <v>121000</v>
      </c>
      <c r="I39">
        <f>VLOOKUP(A39,[1]Sheet2!A38:K251,7,0)</f>
        <v>171117011</v>
      </c>
    </row>
    <row r="40" spans="1:9" ht="20.7">
      <c r="A40" s="5" t="s">
        <v>126</v>
      </c>
      <c r="B40" s="4">
        <v>39</v>
      </c>
      <c r="C40" s="2" t="s">
        <v>125</v>
      </c>
      <c r="D40" s="6">
        <v>58</v>
      </c>
      <c r="E40" s="6">
        <v>5800</v>
      </c>
      <c r="F40" s="6">
        <v>1000</v>
      </c>
      <c r="G40" s="6">
        <v>87000</v>
      </c>
      <c r="H40" s="6">
        <v>93800</v>
      </c>
      <c r="I40">
        <f>VLOOKUP(A40,[1]Sheet2!A39:K252,7,0)</f>
        <v>171116941</v>
      </c>
    </row>
    <row r="41" spans="1:9" ht="20.7">
      <c r="A41" s="5" t="s">
        <v>129</v>
      </c>
      <c r="B41" s="4">
        <v>40</v>
      </c>
      <c r="C41" s="2" t="s">
        <v>128</v>
      </c>
      <c r="D41" s="6">
        <v>147</v>
      </c>
      <c r="E41" s="6">
        <v>14700</v>
      </c>
      <c r="F41" s="6">
        <v>1000</v>
      </c>
      <c r="G41" s="6">
        <v>220500</v>
      </c>
      <c r="H41" s="6">
        <v>236200</v>
      </c>
      <c r="I41">
        <f>VLOOKUP(A41,[1]Sheet2!A40:K253,7,0)</f>
        <v>171116163</v>
      </c>
    </row>
    <row r="42" spans="1:9" ht="20.7">
      <c r="A42" s="5" t="s">
        <v>132</v>
      </c>
      <c r="B42" s="4">
        <v>41</v>
      </c>
      <c r="C42" s="2" t="s">
        <v>131</v>
      </c>
      <c r="D42" s="6">
        <v>208</v>
      </c>
      <c r="E42" s="6">
        <v>20800</v>
      </c>
      <c r="F42" s="6">
        <v>1000</v>
      </c>
      <c r="G42" s="6">
        <v>312000</v>
      </c>
      <c r="H42" s="6">
        <v>333800</v>
      </c>
      <c r="I42">
        <f>VLOOKUP(A42,[1]Sheet2!A41:K254,7,0)</f>
        <v>171116162</v>
      </c>
    </row>
    <row r="43" spans="1:9" ht="20.7">
      <c r="A43" s="5" t="s">
        <v>135</v>
      </c>
      <c r="B43" s="4">
        <v>42</v>
      </c>
      <c r="C43" s="2" t="s">
        <v>134</v>
      </c>
      <c r="D43" s="6">
        <v>93</v>
      </c>
      <c r="E43" s="6">
        <v>9300</v>
      </c>
      <c r="F43" s="6">
        <v>1000</v>
      </c>
      <c r="G43" s="6">
        <v>139500</v>
      </c>
      <c r="H43" s="6">
        <v>149800</v>
      </c>
      <c r="I43">
        <f>VLOOKUP(A43,[1]Sheet2!A42:K255,7,0)</f>
        <v>171116992</v>
      </c>
    </row>
    <row r="44" spans="1:9" ht="20.7">
      <c r="A44" s="5" t="s">
        <v>138</v>
      </c>
      <c r="B44" s="4">
        <v>43</v>
      </c>
      <c r="C44" s="2" t="s">
        <v>700</v>
      </c>
      <c r="D44" s="6">
        <v>154</v>
      </c>
      <c r="E44" s="6">
        <v>15400</v>
      </c>
      <c r="F44" s="6">
        <v>1000</v>
      </c>
      <c r="G44" s="6">
        <v>231000</v>
      </c>
      <c r="H44" s="6">
        <v>247400</v>
      </c>
      <c r="I44">
        <f>VLOOKUP(A44,[1]Sheet2!A43:K256,7,0)</f>
        <v>171116155</v>
      </c>
    </row>
    <row r="45" spans="1:9" ht="20.7">
      <c r="A45" s="5" t="s">
        <v>141</v>
      </c>
      <c r="B45" s="4">
        <v>44</v>
      </c>
      <c r="C45" s="2" t="s">
        <v>701</v>
      </c>
      <c r="D45" s="6">
        <v>318</v>
      </c>
      <c r="E45" s="6">
        <v>31800</v>
      </c>
      <c r="F45" s="6">
        <v>1000</v>
      </c>
      <c r="G45" s="6">
        <v>477000</v>
      </c>
      <c r="H45" s="6">
        <v>509800</v>
      </c>
      <c r="I45">
        <f>VLOOKUP(A45,[1]Sheet2!A44:K257,7,0)</f>
        <v>171116920</v>
      </c>
    </row>
    <row r="46" spans="1:9" ht="20.7">
      <c r="A46" s="5" t="s">
        <v>144</v>
      </c>
      <c r="B46" s="4">
        <v>45</v>
      </c>
      <c r="C46" s="2" t="s">
        <v>143</v>
      </c>
      <c r="D46" s="6">
        <v>21</v>
      </c>
      <c r="E46" s="6">
        <v>2100</v>
      </c>
      <c r="F46" s="6">
        <v>1000</v>
      </c>
      <c r="G46" s="6">
        <v>31500</v>
      </c>
      <c r="H46" s="6">
        <v>34600</v>
      </c>
      <c r="I46">
        <f>VLOOKUP(A46,[1]Sheet2!A45:K258,7,0)</f>
        <v>171116931</v>
      </c>
    </row>
    <row r="47" spans="1:9" ht="20.7">
      <c r="A47" s="5" t="s">
        <v>147</v>
      </c>
      <c r="B47" s="4">
        <v>46</v>
      </c>
      <c r="C47" s="2" t="s">
        <v>146</v>
      </c>
      <c r="D47" s="6">
        <v>51</v>
      </c>
      <c r="E47" s="6">
        <v>5100</v>
      </c>
      <c r="F47" s="6">
        <v>1000</v>
      </c>
      <c r="G47" s="6">
        <v>76500</v>
      </c>
      <c r="H47" s="6">
        <v>82600</v>
      </c>
      <c r="I47">
        <f>VLOOKUP(A47,[1]Sheet2!A46:K259,7,0)</f>
        <v>171117042</v>
      </c>
    </row>
    <row r="48" spans="1:9" ht="20.7">
      <c r="A48" s="5" t="s">
        <v>150</v>
      </c>
      <c r="B48" s="4">
        <v>47</v>
      </c>
      <c r="C48" s="2" t="s">
        <v>149</v>
      </c>
      <c r="D48" s="6">
        <v>218</v>
      </c>
      <c r="E48" s="6">
        <v>21800</v>
      </c>
      <c r="F48" s="6">
        <v>1000</v>
      </c>
      <c r="G48" s="6">
        <v>327000</v>
      </c>
      <c r="H48" s="6">
        <v>349800</v>
      </c>
      <c r="I48">
        <f>VLOOKUP(A48,[1]Sheet2!A47:K260,7,0)</f>
        <v>171117041</v>
      </c>
    </row>
    <row r="49" spans="1:9" ht="20.7">
      <c r="A49" s="5" t="s">
        <v>153</v>
      </c>
      <c r="B49" s="4">
        <v>48</v>
      </c>
      <c r="C49" s="2" t="s">
        <v>152</v>
      </c>
      <c r="D49" s="6">
        <v>225</v>
      </c>
      <c r="E49" s="6">
        <v>22500</v>
      </c>
      <c r="F49" s="6">
        <v>1000</v>
      </c>
      <c r="G49" s="6">
        <v>337500</v>
      </c>
      <c r="H49" s="6">
        <v>361000</v>
      </c>
      <c r="I49">
        <f>VLOOKUP(A49,[1]Sheet2!A48:K261,7,0)</f>
        <v>171116999</v>
      </c>
    </row>
    <row r="50" spans="1:9" ht="20.7">
      <c r="A50" s="5" t="s">
        <v>156</v>
      </c>
      <c r="B50" s="4">
        <v>49</v>
      </c>
      <c r="C50" s="2" t="s">
        <v>155</v>
      </c>
      <c r="D50" s="6">
        <v>410</v>
      </c>
      <c r="E50" s="6">
        <v>41000</v>
      </c>
      <c r="F50" s="6">
        <v>1000</v>
      </c>
      <c r="G50" s="6">
        <v>615000</v>
      </c>
      <c r="H50" s="6">
        <v>657000</v>
      </c>
      <c r="I50">
        <f>VLOOKUP(A50,[1]Sheet2!A49:K262,7,0)</f>
        <v>171116205</v>
      </c>
    </row>
    <row r="51" spans="1:9" ht="20.7">
      <c r="A51" s="5" t="s">
        <v>159</v>
      </c>
      <c r="B51" s="4">
        <v>50</v>
      </c>
      <c r="C51" s="2" t="s">
        <v>158</v>
      </c>
      <c r="D51" s="6">
        <v>53</v>
      </c>
      <c r="E51" s="6">
        <v>5300</v>
      </c>
      <c r="F51" s="6">
        <v>1000</v>
      </c>
      <c r="G51" s="6">
        <v>79500</v>
      </c>
      <c r="H51" s="6">
        <v>85800</v>
      </c>
      <c r="I51">
        <f>VLOOKUP(A51,[1]Sheet2!A50:K263,7,0)</f>
        <v>171116937</v>
      </c>
    </row>
    <row r="52" spans="1:9" ht="20.7">
      <c r="A52" s="5" t="s">
        <v>162</v>
      </c>
      <c r="B52" s="4">
        <v>51</v>
      </c>
      <c r="C52" s="2" t="s">
        <v>161</v>
      </c>
      <c r="D52" s="6">
        <v>5</v>
      </c>
      <c r="E52" s="6">
        <v>500</v>
      </c>
      <c r="F52" s="6">
        <v>1000</v>
      </c>
      <c r="G52" s="6">
        <v>7500</v>
      </c>
      <c r="H52" s="6">
        <v>9000</v>
      </c>
      <c r="I52">
        <f>VLOOKUP(A52,[1]Sheet2!A51:K264,7,0)</f>
        <v>171116169</v>
      </c>
    </row>
    <row r="53" spans="1:9" ht="20.7">
      <c r="A53" s="5" t="s">
        <v>165</v>
      </c>
      <c r="B53" s="4">
        <v>52</v>
      </c>
      <c r="C53" s="2" t="s">
        <v>164</v>
      </c>
      <c r="D53" s="6">
        <v>12</v>
      </c>
      <c r="E53" s="6">
        <v>1200</v>
      </c>
      <c r="F53" s="6">
        <v>1000</v>
      </c>
      <c r="G53" s="6">
        <v>18000</v>
      </c>
      <c r="H53" s="6">
        <v>20200</v>
      </c>
      <c r="I53">
        <f>VLOOKUP(A53,[1]Sheet2!A52:K265,7,0)</f>
        <v>171116109</v>
      </c>
    </row>
    <row r="54" spans="1:9" ht="20.7">
      <c r="A54" s="5" t="s">
        <v>168</v>
      </c>
      <c r="B54" s="4">
        <v>53</v>
      </c>
      <c r="C54" s="2" t="s">
        <v>167</v>
      </c>
      <c r="D54" s="6">
        <v>246</v>
      </c>
      <c r="E54" s="6">
        <v>24600</v>
      </c>
      <c r="F54" s="6">
        <v>1000</v>
      </c>
      <c r="G54" s="6">
        <v>369000</v>
      </c>
      <c r="H54" s="6">
        <v>394600</v>
      </c>
      <c r="I54">
        <f>VLOOKUP(A54,[1]Sheet2!A53:K266,7,0)</f>
        <v>171116201</v>
      </c>
    </row>
    <row r="55" spans="1:9" ht="20.7">
      <c r="A55" s="5" t="s">
        <v>171</v>
      </c>
      <c r="B55" s="4">
        <v>54</v>
      </c>
      <c r="C55" s="2" t="s">
        <v>170</v>
      </c>
      <c r="D55" s="6">
        <v>43</v>
      </c>
      <c r="E55" s="6">
        <v>4300</v>
      </c>
      <c r="F55" s="6">
        <v>1000</v>
      </c>
      <c r="G55" s="6">
        <v>64500</v>
      </c>
      <c r="H55" s="6">
        <v>69800</v>
      </c>
      <c r="I55">
        <f>VLOOKUP(A55,[1]Sheet2!A54:K267,7,0)</f>
        <v>171116914</v>
      </c>
    </row>
    <row r="56" spans="1:9" ht="20.7">
      <c r="A56" s="5" t="s">
        <v>174</v>
      </c>
      <c r="B56" s="4">
        <v>55</v>
      </c>
      <c r="C56" s="2" t="s">
        <v>173</v>
      </c>
      <c r="D56" s="6">
        <v>48</v>
      </c>
      <c r="E56" s="6">
        <v>4800</v>
      </c>
      <c r="F56" s="6">
        <v>1000</v>
      </c>
      <c r="G56" s="6">
        <v>72000</v>
      </c>
      <c r="H56" s="6">
        <v>77800</v>
      </c>
      <c r="I56">
        <f>VLOOKUP(A56,[1]Sheet2!A55:K268,7,0)</f>
        <v>171116956</v>
      </c>
    </row>
    <row r="57" spans="1:9" ht="20.7">
      <c r="A57" s="5" t="s">
        <v>177</v>
      </c>
      <c r="B57" s="4">
        <v>56</v>
      </c>
      <c r="C57" s="2" t="s">
        <v>176</v>
      </c>
      <c r="D57" s="6">
        <v>88</v>
      </c>
      <c r="E57" s="6">
        <v>8800</v>
      </c>
      <c r="F57" s="6">
        <v>1000</v>
      </c>
      <c r="G57" s="6">
        <v>132000</v>
      </c>
      <c r="H57" s="6">
        <v>141800</v>
      </c>
      <c r="I57">
        <f>VLOOKUP(A57,[1]Sheet2!A56:K269,7,0)</f>
        <v>171116118</v>
      </c>
    </row>
    <row r="58" spans="1:9" ht="20.7">
      <c r="A58" s="5" t="s">
        <v>180</v>
      </c>
      <c r="B58" s="4">
        <v>57</v>
      </c>
      <c r="C58" s="2" t="s">
        <v>179</v>
      </c>
      <c r="D58" s="6">
        <v>65</v>
      </c>
      <c r="E58" s="6">
        <v>6500</v>
      </c>
      <c r="F58" s="6">
        <v>1000</v>
      </c>
      <c r="G58" s="6">
        <v>97500</v>
      </c>
      <c r="H58" s="6">
        <v>105000</v>
      </c>
      <c r="I58">
        <f>VLOOKUP(A58,[1]Sheet2!A57:K270,7,0)</f>
        <v>171116957</v>
      </c>
    </row>
    <row r="59" spans="1:9" ht="20.7">
      <c r="A59" s="5" t="s">
        <v>183</v>
      </c>
      <c r="B59" s="4">
        <v>58</v>
      </c>
      <c r="C59" s="2" t="s">
        <v>182</v>
      </c>
      <c r="D59" s="6">
        <v>134</v>
      </c>
      <c r="E59" s="6">
        <v>13400</v>
      </c>
      <c r="F59" s="6">
        <v>1000</v>
      </c>
      <c r="G59" s="6">
        <v>201000</v>
      </c>
      <c r="H59" s="6">
        <v>215400</v>
      </c>
      <c r="I59">
        <f>VLOOKUP(A59,[1]Sheet2!A58:K271,7,0)</f>
        <v>171116970</v>
      </c>
    </row>
    <row r="60" spans="1:9" ht="20.7">
      <c r="A60" s="5" t="s">
        <v>186</v>
      </c>
      <c r="B60" s="4">
        <v>59</v>
      </c>
      <c r="C60" s="2" t="s">
        <v>185</v>
      </c>
      <c r="D60" s="6">
        <v>224</v>
      </c>
      <c r="E60" s="6">
        <v>22400</v>
      </c>
      <c r="F60" s="6">
        <v>1000</v>
      </c>
      <c r="G60" s="6">
        <v>336000</v>
      </c>
      <c r="H60" s="6">
        <v>359400</v>
      </c>
      <c r="I60">
        <f>VLOOKUP(A60,[1]Sheet2!A59:K272,7,0)</f>
        <v>171116947</v>
      </c>
    </row>
    <row r="61" spans="1:9" ht="20.7">
      <c r="A61" s="5" t="s">
        <v>189</v>
      </c>
      <c r="B61" s="4">
        <v>60</v>
      </c>
      <c r="C61" s="2" t="s">
        <v>188</v>
      </c>
      <c r="D61" s="6">
        <v>137</v>
      </c>
      <c r="E61" s="6">
        <v>13700</v>
      </c>
      <c r="F61" s="6">
        <v>1000</v>
      </c>
      <c r="G61" s="6">
        <v>205500</v>
      </c>
      <c r="H61" s="6">
        <v>220200</v>
      </c>
      <c r="I61">
        <f>VLOOKUP(A61,[1]Sheet2!A60:K273,7,0)</f>
        <v>171116204</v>
      </c>
    </row>
    <row r="62" spans="1:9" ht="20.7">
      <c r="A62" s="5"/>
      <c r="B62" s="5"/>
      <c r="C62" s="7" t="s">
        <v>702</v>
      </c>
      <c r="D62" s="6">
        <f>SUM(D2:D61)</f>
        <v>11099</v>
      </c>
      <c r="E62" s="6">
        <f>SUM(E2:E61)</f>
        <v>1109900</v>
      </c>
      <c r="F62" s="6">
        <f>SUM(F2:F61)</f>
        <v>60000</v>
      </c>
      <c r="G62" s="6">
        <f>SUM(G2:G61)</f>
        <v>16648500</v>
      </c>
      <c r="H62" s="6">
        <f>SUM(H2:H61)</f>
        <v>17818400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vw_paymentBlock22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Windows User</cp:lastModifiedBy>
  <cp:revision>0</cp:revision>
  <dcterms:modified xsi:type="dcterms:W3CDTF">2017-12-25T04:13:51Z</dcterms:modified>
  <dc:language>en-US</dc:language>
</cp:coreProperties>
</file>